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jkwan\OneDrive\Desktop\3CC3 Cloud Computing &amp; Internet of Things\Lab Project\"/>
    </mc:Choice>
  </mc:AlternateContent>
  <xr:revisionPtr revIDLastSave="0" documentId="13_ncr:1_{E09AE75B-70F6-4CC6-9BF8-C89A5B058A97}" xr6:coauthVersionLast="47" xr6:coauthVersionMax="47" xr10:uidLastSave="{00000000-0000-0000-0000-000000000000}"/>
  <bookViews>
    <workbookView xWindow="-108" yWindow="-108" windowWidth="23256" windowHeight="12456" tabRatio="810" activeTab="1" xr2:uid="{00000000-000D-0000-FFFF-FFFF00000000}"/>
  </bookViews>
  <sheets>
    <sheet name="IDEA Template" sheetId="13" r:id="rId1"/>
    <sheet name="GANTT Template" sheetId="11" r:id="rId2"/>
    <sheet name="TASK BREAKDOWN Template" sheetId="14" r:id="rId3"/>
    <sheet name="EVENT LOG Template" sheetId="15" r:id="rId4"/>
    <sheet name="DAILY STANDUPS Template" sheetId="16" r:id="rId5"/>
    <sheet name="LESSONS LEARNED Template" sheetId="17" r:id="rId6"/>
  </sheets>
  <definedNames>
    <definedName name="Display_Week">'GANTT Template'!$Q$2</definedName>
    <definedName name="_xlnm.Print_Titles" localSheetId="1">'GANTT Template'!$4:$6</definedName>
    <definedName name="Project_Start">'GANTT Template'!$Q$1</definedName>
    <definedName name="task_end" localSheetId="1">'GANTT Template'!$F1</definedName>
    <definedName name="task_progress" localSheetId="1">'GANTT Template'!$D1</definedName>
    <definedName name="task_start" localSheetId="1">'GANTT Template'!$E1</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11" l="1"/>
  <c r="F29" i="11"/>
  <c r="F25" i="11"/>
  <c r="F24" i="11"/>
  <c r="F26" i="11"/>
  <c r="F23" i="11"/>
  <c r="F22" i="11"/>
  <c r="F21" i="11"/>
  <c r="F20" i="11"/>
  <c r="F19" i="11"/>
  <c r="F17" i="11"/>
  <c r="F16" i="11"/>
  <c r="F15" i="11"/>
  <c r="F14" i="11"/>
  <c r="F13" i="11"/>
  <c r="F12" i="11"/>
  <c r="E9" i="11"/>
  <c r="E10" i="11" s="1"/>
  <c r="H7" i="11"/>
  <c r="I5" i="11" l="1"/>
  <c r="H32" i="11"/>
  <c r="H31" i="11"/>
  <c r="H28" i="11"/>
  <c r="H18" i="11"/>
  <c r="H11" i="11"/>
  <c r="H8" i="11"/>
  <c r="H9" i="11" l="1"/>
  <c r="I6" i="11"/>
  <c r="H19" i="11" l="1"/>
  <c r="H20" i="11"/>
  <c r="H23" i="11"/>
  <c r="H10" i="11"/>
  <c r="H12" i="11"/>
  <c r="J5" i="11"/>
  <c r="K5" i="11" s="1"/>
  <c r="L5" i="11" s="1"/>
  <c r="M5" i="11" s="1"/>
  <c r="N5" i="11" s="1"/>
  <c r="O5" i="11" s="1"/>
  <c r="P5" i="11" s="1"/>
  <c r="I4" i="11"/>
  <c r="H29" i="11" l="1"/>
  <c r="H21" i="11"/>
  <c r="H30" i="11"/>
  <c r="H22" i="11"/>
  <c r="H13" i="11"/>
  <c r="P4" i="11"/>
  <c r="Q5" i="11"/>
  <c r="R5" i="11" s="1"/>
  <c r="S5" i="11" s="1"/>
  <c r="T5" i="11" s="1"/>
  <c r="U5" i="11" s="1"/>
  <c r="V5" i="11" s="1"/>
  <c r="W5" i="11" s="1"/>
  <c r="J6" i="11"/>
  <c r="H16" i="11" l="1"/>
  <c r="H14" i="11"/>
  <c r="W4" i="11"/>
  <c r="X5" i="11"/>
  <c r="Y5" i="11" s="1"/>
  <c r="Z5" i="11" s="1"/>
  <c r="AA5" i="11" s="1"/>
  <c r="AB5" i="11" s="1"/>
  <c r="AC5" i="11" s="1"/>
  <c r="AD5" i="11" s="1"/>
  <c r="K6" i="11"/>
  <c r="H15" i="11" l="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tc={F99D0D2B-AF07-43CF-9DDB-0EECA671F1BB}</author>
    <author>tc={D1857816-018D-47FA-AC17-0531C14DA29B}</author>
    <author>tc={1D6E4072-1457-401E-90EC-C2537E03AF0C}</author>
    <author>tc={52963A13-18EB-4ECD-BD77-9461C8319BAA}</author>
    <author>tc={E3455904-888C-40D9-A691-AFBABD7431C8}</author>
  </authors>
  <commentList>
    <comment ref="B2" authorId="0" shapeId="0" xr:uid="{F99D0D2B-AF07-43CF-9DDB-0EECA671F1BB}">
      <text>
        <t>[Threaded comment]
Your version of Excel allows you to read this threaded comment; however, any edits to it will get removed if the file is opened in a newer version of Excel. Learn more: https://go.microsoft.com/fwlink/?linkid=870924
Comment:
    In this column list things such as:
- Material requirements
- Software requirements
- Other requirements
- Cost ($)
- Cost (t)</t>
      </text>
    </comment>
    <comment ref="C2" authorId="1" shapeId="0" xr:uid="{D1857816-018D-47FA-AC17-0531C14DA29B}">
      <text>
        <t>[Threaded comment]
Your version of Excel allows you to read this threaded comment; however, any edits to it will get removed if the file is opened in a newer version of Excel. Learn more: https://go.microsoft.com/fwlink/?linkid=870924
Comment:
    Describe what progress should be made during week 1.</t>
      </text>
    </comment>
    <comment ref="D2" authorId="2" shapeId="0" xr:uid="{1D6E4072-1457-401E-90EC-C2537E03AF0C}">
      <text>
        <t>[Threaded comment]
Your version of Excel allows you to read this threaded comment; however, any edits to it will get removed if the file is opened in a newer version of Excel. Learn more: https://go.microsoft.com/fwlink/?linkid=870924
Comment:
    Describe what progress should be made during week 2.</t>
      </text>
    </comment>
    <comment ref="E2" authorId="3" shapeId="0" xr:uid="{52963A13-18EB-4ECD-BD77-9461C8319BAA}">
      <text>
        <t>[Threaded comment]
Your version of Excel allows you to read this threaded comment; however, any edits to it will get removed if the file is opened in a newer version of Excel. Learn more: https://go.microsoft.com/fwlink/?linkid=870924
Comment:
    Describe what progress should be made during week 3.</t>
      </text>
    </comment>
    <comment ref="F2" authorId="4" shapeId="0" xr:uid="{E3455904-888C-40D9-A691-AFBABD7431C8}">
      <text>
        <t>[Threaded comment]
Your version of Excel allows you to read this threaded comment; however, any edits to it will get removed if the file is opened in a newer version of Excel. Learn more: https://go.microsoft.com/fwlink/?linkid=870924
Comment:
    In this column list your ideal final product, and the form it should take.
- What functionality should it exhibit?
- What role does the user play in the product’s functionality?
- Are the materials used 3d printed, handmade or bought?
- Give some thought to allowing for alternate materials and functionality if your initial design does not work out.
- List other considerations, e.g. would some that is physically disabled be able to use your design? Is there a workaround? These can also be  improvement made to the next iteration of your design.</t>
      </text>
    </comment>
  </commentList>
</comments>
</file>

<file path=xl/sharedStrings.xml><?xml version="1.0" encoding="utf-8"?>
<sst xmlns="http://schemas.openxmlformats.org/spreadsheetml/2006/main" count="108" uniqueCount="81">
  <si>
    <t>Insert new rows ABOVE this one</t>
  </si>
  <si>
    <t>PROGRESS</t>
  </si>
  <si>
    <t>START</t>
  </si>
  <si>
    <t>END</t>
  </si>
  <si>
    <t>TASK</t>
  </si>
  <si>
    <t xml:space="preserve">Do not delete this row. This row is hidden to preserve a formula that is used to highlight the current day within the project schedule. </t>
  </si>
  <si>
    <t>Initiation</t>
  </si>
  <si>
    <t>Planning and design</t>
  </si>
  <si>
    <t>Execution</t>
  </si>
  <si>
    <t>Project start:</t>
  </si>
  <si>
    <t>Display week:</t>
  </si>
  <si>
    <t>ASSIGNED TO</t>
  </si>
  <si>
    <t>IDEA</t>
  </si>
  <si>
    <t>WEEK 1</t>
  </si>
  <si>
    <t>WEEK 2</t>
  </si>
  <si>
    <t>WEEK 3</t>
  </si>
  <si>
    <t>FINISH</t>
  </si>
  <si>
    <t>STAGE</t>
  </si>
  <si>
    <t>MILESTONES</t>
  </si>
  <si>
    <t>TASKS</t>
  </si>
  <si>
    <t>OWNER</t>
  </si>
  <si>
    <t>TIME ALLOTTED</t>
  </si>
  <si>
    <t>ACTUAL TIME</t>
  </si>
  <si>
    <t>As a rule of thumb, a milestone represents the specific acheivement of an objective. 
Examples are:
- Completion of design for 3d printing of parts
- Completion of testing of code</t>
  </si>
  <si>
    <t>As a rule of thumb, once you have listed an idea, it is best to fill this table out right to left (i.e. start with the finsih in mind and work your way backward towards the start).
Note that you can breakdown the steps between Start and Finish anyway you want. A common way is to break it down by hardware, software and assembly categories.</t>
  </si>
  <si>
    <t>EVENT</t>
  </si>
  <si>
    <t>CATEGORY</t>
  </si>
  <si>
    <t>FOCAL POINTS</t>
  </si>
  <si>
    <t>OUTCOME</t>
  </si>
  <si>
    <t>DATE</t>
  </si>
  <si>
    <t>WORK DONE YESTERDAY</t>
  </si>
  <si>
    <t>WORK TO BE DONE TODAY</t>
  </si>
  <si>
    <t>ON TRACK? (Y/N)</t>
  </si>
  <si>
    <t>WHAT WENT WELL</t>
  </si>
  <si>
    <t>WHAT WENT LESS WELL</t>
  </si>
  <si>
    <t>HOW COULD WE DO BETTER?</t>
  </si>
  <si>
    <t>LESSONS LEARNED</t>
  </si>
  <si>
    <t>RAILROAD CROSSING GATE</t>
  </si>
  <si>
    <t>Jacob Kwan</t>
  </si>
  <si>
    <t>Nicolas Jao</t>
  </si>
  <si>
    <t>All materials on hand</t>
  </si>
  <si>
    <t>Project proposal completed</t>
  </si>
  <si>
    <t>Ubidots connection completed</t>
  </si>
  <si>
    <t>LabView code completed</t>
  </si>
  <si>
    <t>Simulated code generated in Arduino IDE</t>
  </si>
  <si>
    <t>Model railroad crossing constructed</t>
  </si>
  <si>
    <t>Code is thouroughly tested</t>
  </si>
  <si>
    <t>Gather cardboard</t>
  </si>
  <si>
    <t>- Gather cardboard
- Buy IR sensors</t>
  </si>
  <si>
    <t>- Fill in task breakdown &amp; GANTT chart
- Write abstract and description
- Draw electrical schematics</t>
  </si>
  <si>
    <t>- Build railroad crossing environment and gates
- Paint/draw details on cardboard
- Set up sensors and motors in appropriate areas</t>
  </si>
  <si>
    <t>- Figure out how IR sensors work
- Write psuedocode for high level logic of the entire system
- Write the code in C++ in the Arduino IDE</t>
  </si>
  <si>
    <t>- Figure out how to connect Arduino IDE to LabView
- Build HMI for the system
- Convert logic in C++ to LabView block diagrams</t>
  </si>
  <si>
    <t>- Connect LabView to Ubidots
- Ensure connection is working
- Set up Ubidots dashboard and data tracking</t>
  </si>
  <si>
    <t>- Final inspection of system
- Troubleshooting and testing</t>
  </si>
  <si>
    <t>Nicolas</t>
  </si>
  <si>
    <t>Nicolas &amp; Jacob</t>
  </si>
  <si>
    <t>Jacob</t>
  </si>
  <si>
    <t>3 days</t>
  </si>
  <si>
    <t>1 day</t>
  </si>
  <si>
    <t>2 days</t>
  </si>
  <si>
    <t>Buy IR sensors</t>
  </si>
  <si>
    <t>Fill in task breakdown &amp; GANTT chart</t>
  </si>
  <si>
    <t>Write abstract &amp; project description</t>
  </si>
  <si>
    <t>Draw electrical schematic</t>
  </si>
  <si>
    <t>Figure out IR sensor connections</t>
  </si>
  <si>
    <t>Write pseudocode for high level logic of system</t>
  </si>
  <si>
    <t>Write code in C++ in Arduino IDE</t>
  </si>
  <si>
    <t>Troubleshooting</t>
  </si>
  <si>
    <t>Build railroad crossing environment and gates</t>
  </si>
  <si>
    <t>Paint/draw details on cardboard</t>
  </si>
  <si>
    <t>Set up sensors and motors in position</t>
  </si>
  <si>
    <t>Connect Arduino IDE to LabView</t>
  </si>
  <si>
    <t>Build HMI for system</t>
  </si>
  <si>
    <t>Convert logic in C++ to LabView block diagrams</t>
  </si>
  <si>
    <t>Connect LabView to Ubidots</t>
  </si>
  <si>
    <t>Ensure connection is working</t>
  </si>
  <si>
    <t>Set up Ubidots dashboard and data tracking</t>
  </si>
  <si>
    <t>Jacob &amp; Nicolas</t>
  </si>
  <si>
    <t>Final inspection of system</t>
  </si>
  <si>
    <t>Troubleshooting and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</si>
</sst>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1009]d/mmm/yy;@"/>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1"/>
      <color theme="1"/>
      <name val="Arial"/>
      <family val="2"/>
      <scheme val="minor"/>
    </font>
    <font>
      <b/>
      <sz val="16"/>
      <name val="Arial"/>
      <family val="2"/>
      <scheme val="minor"/>
    </font>
    <font>
      <sz val="16"/>
      <name val="Arial"/>
      <family val="2"/>
      <scheme val="minor"/>
    </font>
    <font>
      <b/>
      <sz val="16"/>
      <name val="Arial Black"/>
      <family val="2"/>
      <scheme val="major"/>
    </font>
    <font>
      <sz val="11"/>
      <name val="Arial Black"/>
      <family val="2"/>
      <scheme val="major"/>
    </font>
    <font>
      <b/>
      <sz val="28"/>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s>
  <borders count="25">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theme="9" tint="0.59996337778862885"/>
      </top>
      <bottom style="thin">
        <color theme="9" tint="0.59996337778862885"/>
      </bottom>
      <diagonal/>
    </border>
    <border>
      <left/>
      <right/>
      <top style="thin">
        <color theme="4" tint="0.59996337778862885"/>
      </top>
      <bottom style="hair">
        <color indexed="64"/>
      </bottom>
      <diagonal/>
    </border>
    <border>
      <left/>
      <right/>
      <top style="thin">
        <color theme="4" tint="0.59996337778862885"/>
      </top>
      <bottom/>
      <diagonal/>
    </border>
    <border>
      <left/>
      <right/>
      <top style="thin">
        <color theme="6" tint="0.59996337778862885"/>
      </top>
      <bottom style="hair">
        <color indexed="64"/>
      </bottom>
      <diagonal/>
    </border>
    <border>
      <left/>
      <right/>
      <top style="hair">
        <color indexed="64"/>
      </top>
      <bottom style="hair">
        <color indexed="64"/>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5" fillId="9" borderId="18" xfId="0" applyNumberFormat="1" applyFont="1" applyFill="1" applyBorder="1" applyAlignment="1">
      <alignment horizontal="center" vertical="center"/>
    </xf>
    <xf numFmtId="167" fontId="15" fillId="9" borderId="16" xfId="0" applyNumberFormat="1" applyFont="1" applyFill="1" applyBorder="1" applyAlignment="1">
      <alignment horizontal="center" vertical="center"/>
    </xf>
    <xf numFmtId="167" fontId="15" fillId="9" borderId="17" xfId="0" applyNumberFormat="1" applyFont="1" applyFill="1" applyBorder="1" applyAlignment="1">
      <alignment horizontal="center" vertical="center"/>
    </xf>
    <xf numFmtId="0" fontId="16" fillId="2" borderId="15" xfId="0" applyFont="1" applyFill="1" applyBorder="1" applyAlignment="1">
      <alignment horizontal="center" vertical="center" shrinkToFit="1"/>
    </xf>
    <xf numFmtId="0" fontId="16" fillId="2" borderId="12"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13" fillId="0" borderId="0" xfId="0" applyFont="1"/>
    <xf numFmtId="0" fontId="13" fillId="0" borderId="0" xfId="0" applyFont="1" applyAlignment="1">
      <alignment wrapText="1"/>
    </xf>
    <xf numFmtId="0" fontId="4" fillId="0" borderId="3" xfId="0" applyFont="1" applyBorder="1" applyAlignment="1">
      <alignment vertical="center"/>
    </xf>
    <xf numFmtId="0" fontId="4" fillId="0" borderId="10"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13" fillId="3" borderId="5" xfId="11" applyFont="1" applyFill="1" applyBorder="1" applyAlignment="1">
      <alignment vertical="center"/>
    </xf>
    <xf numFmtId="9" fontId="1" fillId="3" borderId="5" xfId="2" applyFont="1" applyFill="1" applyBorder="1" applyAlignment="1">
      <alignment horizontal="center" vertical="center"/>
    </xf>
    <xf numFmtId="164" fontId="13" fillId="3" borderId="5" xfId="10" applyFont="1" applyFill="1" applyBorder="1">
      <alignment horizontal="center" vertical="center"/>
    </xf>
    <xf numFmtId="0" fontId="4" fillId="0" borderId="4" xfId="0" applyFont="1" applyBorder="1" applyAlignment="1">
      <alignment horizontal="right" vertical="center"/>
    </xf>
    <xf numFmtId="0" fontId="17" fillId="5" borderId="0" xfId="0" applyFont="1" applyFill="1" applyAlignment="1">
      <alignment horizontal="left" vertical="center" indent="1"/>
    </xf>
    <xf numFmtId="0" fontId="13" fillId="5" borderId="0" xfId="11" applyFont="1" applyFill="1" applyBorder="1" applyAlignment="1">
      <alignment vertical="center"/>
    </xf>
    <xf numFmtId="9" fontId="1" fillId="5" borderId="0" xfId="2" applyFont="1" applyFill="1" applyBorder="1" applyAlignment="1">
      <alignment horizontal="center" vertical="center"/>
    </xf>
    <xf numFmtId="164" fontId="13" fillId="5" borderId="0" xfId="0" applyNumberFormat="1" applyFont="1" applyFill="1" applyAlignment="1">
      <alignment horizontal="center" vertical="center"/>
    </xf>
    <xf numFmtId="164" fontId="1" fillId="5" borderId="0" xfId="0" applyNumberFormat="1" applyFont="1" applyFill="1" applyAlignment="1">
      <alignment horizontal="center" vertical="center"/>
    </xf>
    <xf numFmtId="0" fontId="4" fillId="0" borderId="9" xfId="0" applyFont="1" applyBorder="1" applyAlignment="1">
      <alignment vertical="center"/>
    </xf>
    <xf numFmtId="0" fontId="13" fillId="4" borderId="6" xfId="11" applyFont="1" applyFill="1" applyBorder="1" applyAlignment="1">
      <alignment vertical="center"/>
    </xf>
    <xf numFmtId="9" fontId="1" fillId="4" borderId="6" xfId="2" applyFont="1" applyFill="1" applyBorder="1" applyAlignment="1">
      <alignment horizontal="center" vertical="center"/>
    </xf>
    <xf numFmtId="164" fontId="13" fillId="4" borderId="6" xfId="10" applyFont="1" applyFill="1" applyBorder="1">
      <alignment horizontal="center" vertical="center"/>
    </xf>
    <xf numFmtId="0" fontId="17" fillId="6" borderId="0" xfId="0" applyFont="1" applyFill="1" applyAlignment="1">
      <alignment horizontal="left" vertical="center" indent="1"/>
    </xf>
    <xf numFmtId="0" fontId="13" fillId="6" borderId="0" xfId="11" applyFont="1" applyFill="1" applyBorder="1" applyAlignment="1">
      <alignment vertical="center"/>
    </xf>
    <xf numFmtId="9" fontId="1" fillId="6" borderId="0" xfId="2" applyFont="1" applyFill="1" applyBorder="1" applyAlignment="1">
      <alignment horizontal="center" vertical="center"/>
    </xf>
    <xf numFmtId="164" fontId="13"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8" xfId="0" applyFont="1" applyBorder="1" applyAlignment="1">
      <alignment vertical="center"/>
    </xf>
    <xf numFmtId="0" fontId="13" fillId="7" borderId="7" xfId="11" applyFont="1" applyFill="1" applyBorder="1" applyAlignment="1">
      <alignment vertical="center"/>
    </xf>
    <xf numFmtId="9" fontId="1" fillId="7" borderId="7" xfId="2" applyFont="1" applyFill="1" applyBorder="1" applyAlignment="1">
      <alignment horizontal="center" vertical="center"/>
    </xf>
    <xf numFmtId="164" fontId="13" fillId="7" borderId="7" xfId="10" applyFont="1" applyFill="1" applyBorder="1">
      <alignment horizontal="center" vertical="center"/>
    </xf>
    <xf numFmtId="0" fontId="13" fillId="0" borderId="0" xfId="12" applyFont="1" applyBorder="1">
      <alignment horizontal="left" vertical="center" indent="2"/>
    </xf>
    <xf numFmtId="0" fontId="13" fillId="0" borderId="0" xfId="11" applyFont="1" applyBorder="1" applyAlignment="1">
      <alignment vertical="center"/>
    </xf>
    <xf numFmtId="9" fontId="1" fillId="0" borderId="0" xfId="2" applyFont="1" applyBorder="1" applyAlignment="1">
      <alignment horizontal="center" vertical="center"/>
    </xf>
    <xf numFmtId="164" fontId="13" fillId="0" borderId="0" xfId="10" applyFont="1" applyBorder="1">
      <alignment horizontal="center" vertical="center"/>
    </xf>
    <xf numFmtId="0" fontId="18" fillId="2" borderId="0" xfId="0" applyFont="1" applyFill="1" applyAlignment="1">
      <alignment horizontal="left" vertical="center" indent="1"/>
    </xf>
    <xf numFmtId="0" fontId="18" fillId="2" borderId="0" xfId="0" applyFont="1" applyFill="1" applyAlignment="1">
      <alignment vertical="center"/>
    </xf>
    <xf numFmtId="9" fontId="1" fillId="2" borderId="0" xfId="2" applyFont="1" applyFill="1" applyBorder="1" applyAlignment="1">
      <alignment horizontal="center" vertical="center"/>
    </xf>
    <xf numFmtId="164" fontId="19"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1" fillId="0" borderId="0" xfId="6" applyFont="1" applyAlignment="1">
      <alignment horizontal="left" vertical="center" indent="1"/>
    </xf>
    <xf numFmtId="0" fontId="21" fillId="0" borderId="0" xfId="7" applyFont="1" applyAlignment="1">
      <alignment horizontal="left" vertical="center" indent="1"/>
    </xf>
    <xf numFmtId="0" fontId="3" fillId="0" borderId="0" xfId="0" applyFont="1"/>
    <xf numFmtId="0" fontId="22" fillId="0" borderId="0" xfId="0" applyFont="1"/>
    <xf numFmtId="0" fontId="17" fillId="10" borderId="0" xfId="0" applyFont="1" applyFill="1" applyAlignment="1">
      <alignment horizontal="left" vertical="center" indent="1"/>
    </xf>
    <xf numFmtId="0" fontId="13" fillId="10" borderId="0" xfId="11" applyFont="1" applyFill="1" applyBorder="1" applyAlignment="1">
      <alignment vertical="center"/>
    </xf>
    <xf numFmtId="9" fontId="1" fillId="10" borderId="0" xfId="2" applyFont="1" applyFill="1" applyBorder="1" applyAlignment="1">
      <alignment horizontal="center" vertical="center"/>
    </xf>
    <xf numFmtId="164" fontId="13" fillId="10" borderId="0" xfId="0" applyNumberFormat="1" applyFont="1" applyFill="1" applyAlignment="1">
      <alignment horizontal="center" vertical="center"/>
    </xf>
    <xf numFmtId="164" fontId="1" fillId="10" borderId="0" xfId="0" applyNumberFormat="1" applyFont="1" applyFill="1" applyAlignment="1">
      <alignment horizontal="center" vertical="center"/>
    </xf>
    <xf numFmtId="0" fontId="17" fillId="12" borderId="0" xfId="0" applyFont="1" applyFill="1" applyAlignment="1">
      <alignment horizontal="left" vertical="center" indent="1"/>
    </xf>
    <xf numFmtId="0" fontId="13" fillId="12" borderId="0" xfId="11" applyFont="1" applyFill="1" applyBorder="1" applyAlignment="1">
      <alignment vertical="center"/>
    </xf>
    <xf numFmtId="9" fontId="1" fillId="12" borderId="0" xfId="2" applyFont="1" applyFill="1" applyBorder="1" applyAlignment="1">
      <alignment horizontal="center" vertical="center"/>
    </xf>
    <xf numFmtId="164" fontId="13" fillId="12" borderId="0" xfId="0" applyNumberFormat="1" applyFont="1" applyFill="1" applyAlignment="1">
      <alignment horizontal="center" vertical="center"/>
    </xf>
    <xf numFmtId="164" fontId="1" fillId="12" borderId="0" xfId="0" applyNumberFormat="1" applyFont="1" applyFill="1" applyAlignment="1">
      <alignment horizontal="center" vertical="center"/>
    </xf>
    <xf numFmtId="0" fontId="13" fillId="11" borderId="0" xfId="12" applyFont="1" applyFill="1" applyBorder="1">
      <alignment horizontal="left" vertical="center" indent="2"/>
    </xf>
    <xf numFmtId="0" fontId="13" fillId="11" borderId="0" xfId="11" applyFont="1" applyFill="1" applyBorder="1" applyAlignment="1">
      <alignment vertical="center"/>
    </xf>
    <xf numFmtId="9" fontId="1" fillId="11" borderId="0" xfId="2" applyFont="1" applyFill="1" applyBorder="1" applyAlignment="1">
      <alignment horizontal="center" vertical="center"/>
    </xf>
    <xf numFmtId="164" fontId="13" fillId="11" borderId="0" xfId="10" applyFont="1" applyFill="1" applyBorder="1">
      <alignment horizontal="center" vertical="center"/>
    </xf>
    <xf numFmtId="0" fontId="13" fillId="11" borderId="20" xfId="12" applyFont="1" applyFill="1" applyBorder="1">
      <alignment horizontal="left" vertical="center" indent="2"/>
    </xf>
    <xf numFmtId="0" fontId="13" fillId="11" borderId="20" xfId="11" applyFont="1" applyFill="1" applyBorder="1" applyAlignment="1">
      <alignment vertical="center"/>
    </xf>
    <xf numFmtId="9" fontId="1" fillId="11" borderId="20" xfId="2" applyFont="1" applyFill="1" applyBorder="1" applyAlignment="1">
      <alignment horizontal="center" vertical="center"/>
    </xf>
    <xf numFmtId="164" fontId="13" fillId="11" borderId="20" xfId="10" applyFont="1" applyFill="1" applyBorder="1">
      <alignment horizontal="center" vertical="center"/>
    </xf>
    <xf numFmtId="15" fontId="0" fillId="0" borderId="0" xfId="0" applyNumberFormat="1"/>
    <xf numFmtId="0" fontId="0" fillId="0" borderId="0" xfId="0" applyAlignment="1">
      <alignment wrapText="1"/>
    </xf>
    <xf numFmtId="0" fontId="25" fillId="0" borderId="0" xfId="5" applyFont="1" applyAlignment="1">
      <alignment horizontal="left"/>
    </xf>
    <xf numFmtId="0" fontId="20" fillId="0" borderId="0" xfId="0" applyFont="1" applyAlignment="1">
      <alignment horizontal="center" vertical="center" wrapText="1"/>
    </xf>
    <xf numFmtId="166" fontId="13" fillId="2" borderId="11" xfId="0" applyNumberFormat="1" applyFont="1" applyFill="1" applyBorder="1" applyAlignment="1">
      <alignment horizontal="center" vertical="center" wrapText="1"/>
    </xf>
    <xf numFmtId="166" fontId="13" fillId="2" borderId="17" xfId="0" applyNumberFormat="1" applyFont="1" applyFill="1" applyBorder="1" applyAlignment="1">
      <alignment horizontal="center" vertical="center" wrapText="1"/>
    </xf>
    <xf numFmtId="166" fontId="13" fillId="2" borderId="16" xfId="0" applyNumberFormat="1" applyFont="1" applyFill="1" applyBorder="1" applyAlignment="1">
      <alignment horizontal="center" vertical="center" wrapText="1"/>
    </xf>
    <xf numFmtId="0" fontId="14" fillId="8" borderId="14" xfId="0" applyFont="1" applyFill="1" applyBorder="1" applyAlignment="1">
      <alignment horizontal="center" vertical="center"/>
    </xf>
    <xf numFmtId="0" fontId="4" fillId="2" borderId="19" xfId="0" applyFont="1" applyFill="1" applyBorder="1"/>
    <xf numFmtId="0" fontId="23" fillId="0" borderId="0" xfId="0" applyFont="1" applyAlignment="1">
      <alignment horizontal="left"/>
    </xf>
    <xf numFmtId="0" fontId="24" fillId="0" borderId="0" xfId="0" applyFont="1"/>
    <xf numFmtId="168" fontId="23" fillId="0" borderId="0" xfId="9" applyNumberFormat="1" applyFont="1" applyBorder="1" applyAlignment="1">
      <alignment horizontal="left"/>
    </xf>
    <xf numFmtId="168" fontId="24" fillId="0" borderId="0" xfId="0" applyNumberFormat="1" applyFont="1"/>
    <xf numFmtId="0" fontId="21" fillId="0" borderId="0" xfId="8" applyFont="1" applyAlignment="1">
      <alignment horizontal="left"/>
    </xf>
    <xf numFmtId="0" fontId="3" fillId="0" borderId="0" xfId="0" applyFont="1"/>
    <xf numFmtId="0" fontId="9" fillId="0" borderId="0" xfId="3" applyAlignment="1">
      <alignment wrapText="1"/>
    </xf>
    <xf numFmtId="0" fontId="14" fillId="8" borderId="14" xfId="0" applyFont="1" applyFill="1" applyBorder="1" applyAlignment="1">
      <alignment horizontal="left" vertical="center" indent="1"/>
    </xf>
    <xf numFmtId="0" fontId="4" fillId="2" borderId="19" xfId="0" applyFont="1" applyFill="1" applyBorder="1" applyAlignment="1">
      <alignment horizontal="left" indent="1"/>
    </xf>
    <xf numFmtId="0" fontId="14" fillId="8" borderId="14" xfId="0" applyFont="1" applyFill="1" applyBorder="1" applyAlignment="1">
      <alignment vertical="center"/>
    </xf>
    <xf numFmtId="0" fontId="20" fillId="0" borderId="0" xfId="0" applyFont="1" applyAlignment="1">
      <alignment horizontal="center" vertical="center"/>
    </xf>
    <xf numFmtId="0" fontId="0" fillId="0" borderId="0" xfId="0" quotePrefix="1" applyAlignment="1">
      <alignment wrapText="1"/>
    </xf>
    <xf numFmtId="0" fontId="13" fillId="3" borderId="5" xfId="12" applyFont="1" applyFill="1" applyBorder="1" applyAlignment="1">
      <alignment horizontal="left" vertical="center" wrapText="1" indent="2"/>
    </xf>
    <xf numFmtId="0" fontId="13" fillId="3" borderId="21" xfId="12" applyFont="1" applyFill="1" applyBorder="1" applyAlignment="1">
      <alignment horizontal="left" vertical="center" wrapText="1" indent="2"/>
    </xf>
    <xf numFmtId="0" fontId="13" fillId="3" borderId="22" xfId="11" applyFont="1" applyFill="1" applyBorder="1" applyAlignment="1">
      <alignment vertical="center"/>
    </xf>
    <xf numFmtId="164" fontId="13" fillId="3" borderId="22" xfId="10" applyFont="1" applyFill="1" applyBorder="1">
      <alignment horizontal="center" vertical="center"/>
    </xf>
    <xf numFmtId="9" fontId="1" fillId="3" borderId="21" xfId="2" applyFont="1" applyFill="1" applyBorder="1" applyAlignment="1">
      <alignment horizontal="center" vertical="center"/>
    </xf>
    <xf numFmtId="0" fontId="13" fillId="4" borderId="6" xfId="12" applyFont="1" applyFill="1" applyBorder="1" applyAlignment="1">
      <alignment horizontal="left" vertical="center" wrapText="1" indent="2"/>
    </xf>
    <xf numFmtId="9" fontId="1" fillId="4" borderId="0" xfId="2" applyFont="1" applyFill="1" applyBorder="1" applyAlignment="1">
      <alignment horizontal="center" vertical="center"/>
    </xf>
    <xf numFmtId="164" fontId="13" fillId="4" borderId="0" xfId="10" applyFont="1" applyFill="1" applyBorder="1">
      <alignment horizontal="center" vertical="center"/>
    </xf>
    <xf numFmtId="9" fontId="1" fillId="4" borderId="23" xfId="2" applyFont="1" applyFill="1" applyBorder="1" applyAlignment="1">
      <alignment horizontal="center" vertical="center"/>
    </xf>
    <xf numFmtId="164" fontId="13" fillId="4" borderId="23" xfId="10" applyFont="1" applyFill="1" applyBorder="1">
      <alignment horizontal="center" vertical="center"/>
    </xf>
    <xf numFmtId="9" fontId="1" fillId="4" borderId="24" xfId="2" applyFont="1" applyFill="1" applyBorder="1" applyAlignment="1">
      <alignment horizontal="center" vertical="center"/>
    </xf>
    <xf numFmtId="164" fontId="13" fillId="4" borderId="24" xfId="10" applyFont="1" applyFill="1" applyBorder="1">
      <alignment horizontal="center" vertical="center"/>
    </xf>
    <xf numFmtId="0" fontId="13" fillId="4" borderId="23" xfId="12" applyFont="1" applyFill="1" applyBorder="1" applyAlignment="1">
      <alignment horizontal="left" vertical="center" wrapText="1" indent="2"/>
    </xf>
    <xf numFmtId="0" fontId="13" fillId="4" borderId="24" xfId="12" applyFont="1" applyFill="1" applyBorder="1" applyAlignment="1">
      <alignment horizontal="left" vertical="center" wrapText="1" indent="2"/>
    </xf>
    <xf numFmtId="0" fontId="13" fillId="4" borderId="0" xfId="12" applyFont="1" applyFill="1" applyBorder="1" applyAlignment="1">
      <alignment horizontal="left" vertical="center" wrapText="1" indent="2"/>
    </xf>
    <xf numFmtId="0" fontId="13" fillId="7" borderId="7" xfId="12" applyFont="1" applyFill="1" applyBorder="1" applyAlignment="1">
      <alignment horizontal="left" vertical="center" wrapText="1" indent="2"/>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2">
    <dxf>
      <fill>
        <patternFill>
          <bgColor theme="9" tint="0.39994506668294322"/>
        </patternFill>
      </fill>
      <border>
        <left/>
        <right/>
        <top style="thin">
          <color theme="0" tint="-4.9989318521683403E-2"/>
        </top>
        <bottom style="thin">
          <color theme="0" tint="-4.9989318521683403E-2"/>
        </bottom>
      </border>
    </dxf>
    <dxf>
      <fill>
        <patternFill>
          <bgColor theme="9"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dxf>
    <dxf>
      <fill>
        <patternFill>
          <bgColor theme="9" tint="0.39994506668294322"/>
        </patternFill>
      </fill>
      <border>
        <left/>
        <right/>
        <top style="thin">
          <color theme="0" tint="-4.9989318521683403E-2"/>
        </top>
        <bottom style="thin">
          <color theme="0" tint="-4.9989318521683403E-2"/>
        </bottom>
      </border>
    </dxf>
    <dxf>
      <fill>
        <patternFill>
          <bgColor theme="9"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numFmt numFmtId="0" formatCode="Genera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Rameez Ashraf" id="{EA00FE22-B7E1-44F3-BEF5-27CF6C83A42D}" userId="f9ea34a9ac6cd80b"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2A6570-E8CE-4456-9B66-4B94C7190AEB}" name="Table2" displayName="Table2" ref="A2:F13" totalsRowShown="0">
  <autoFilter ref="A2:F13" xr:uid="{652A6570-E8CE-4456-9B66-4B94C7190AEB}"/>
  <tableColumns count="6">
    <tableColumn id="1" xr3:uid="{6962F71E-C628-41A5-895C-030F10274558}" name="IDEA"/>
    <tableColumn id="2" xr3:uid="{A4DE39F5-41F2-4D72-AA99-3EF34976AA21}" name="START"/>
    <tableColumn id="3" xr3:uid="{FE16F546-BA77-4BF0-A62C-53D229C530A7}" name="WEEK 1"/>
    <tableColumn id="4" xr3:uid="{7E29BD5D-4620-40CA-8A5B-CC54770B0DB0}" name="WEEK 2"/>
    <tableColumn id="5" xr3:uid="{44A2D365-2A55-4039-94F1-649528DC0AD1}" name="WEEK 3"/>
    <tableColumn id="6" xr3:uid="{7E9B385E-0E7B-45FA-9AE0-A205B274A814}" name="FINISH"/>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3301C2E-A636-44A9-B818-ABAB35E16F5D}" name="Table3" displayName="Table3" ref="A2:F16" totalsRowShown="0">
  <autoFilter ref="A2:F16" xr:uid="{B3301C2E-A636-44A9-B818-ABAB35E16F5D}"/>
  <tableColumns count="6">
    <tableColumn id="1" xr3:uid="{99B75C0C-9B40-4BCD-A972-1B223B13BD27}" name="STAGE"/>
    <tableColumn id="2" xr3:uid="{348D6C8A-1FB1-4DEF-9BD0-52F2427E82B2}" name="MILESTONES"/>
    <tableColumn id="3" xr3:uid="{560F4768-918A-4C55-A80B-B9989A99D7C6}" name="TASKS" dataDxfId="12">
      <calculatedColumnFormula array="1">- Gather cardboard
- Buy IR sensors</calculatedColumnFormula>
    </tableColumn>
    <tableColumn id="4" xr3:uid="{26D4840F-4CFE-492F-A7DA-BF54DB522FB8}" name="OWNER"/>
    <tableColumn id="5" xr3:uid="{468225EC-E14E-476C-93CD-85357F3C547A}" name="TIME ALLOTTED"/>
    <tableColumn id="6" xr3:uid="{C1CD60A8-E172-4249-AE42-F9621147ABC3}" name="ACTUAL TIM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1D8AB3-EF6C-43F6-95D3-38E8439EA053}" name="Table4" displayName="Table4" ref="A1:D17" totalsRowShown="0">
  <autoFilter ref="A1:D17" xr:uid="{F01D8AB3-EF6C-43F6-95D3-38E8439EA053}"/>
  <tableColumns count="4">
    <tableColumn id="1" xr3:uid="{5F05898A-E2C0-4AE5-A413-7EA49CC8C6E2}" name="EVENT"/>
    <tableColumn id="2" xr3:uid="{7D6B898E-AE81-47FA-833B-6B36380A3A3F}" name="CATEGORY"/>
    <tableColumn id="3" xr3:uid="{2BB2FEE3-80C4-4742-A0EB-5AB69495CFB3}" name="FOCAL POINTS"/>
    <tableColumn id="4" xr3:uid="{E4E2D3D0-475F-43E1-A4B6-0CE46EDBBACD}" name="OUTCOME"/>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AFD4C3-1460-4B73-AC12-CF860D48DE53}" name="Table5" displayName="Table5" ref="A1:D36" totalsRowShown="0">
  <autoFilter ref="A1:D36" xr:uid="{88AFD4C3-1460-4B73-AC12-CF860D48DE53}"/>
  <tableColumns count="4">
    <tableColumn id="1" xr3:uid="{A583F183-0C6C-4C39-83ED-61750C46EA5B}" name="DATE"/>
    <tableColumn id="2" xr3:uid="{B4AF03BF-C180-4092-A068-A0443A1E27A8}" name="WORK DONE YESTERDAY"/>
    <tableColumn id="3" xr3:uid="{4900CA1B-97B4-4F4B-8ABD-6ED55C475AF1}" name="WORK TO BE DONE TODAY"/>
    <tableColumn id="4" xr3:uid="{E6C68B36-786B-41D3-88BA-F03F86789099}" name="ON TRACK? (Y/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FBD643B-6BA1-4EBD-9EE4-C93ACDA71384}" name="Table6" displayName="Table6" ref="A1:D9" totalsRowShown="0">
  <autoFilter ref="A1:D9" xr:uid="{3FBD643B-6BA1-4EBD-9EE4-C93ACDA71384}"/>
  <tableColumns count="4">
    <tableColumn id="1" xr3:uid="{712AD254-DDB4-4FB4-9AF4-F645964252EA}" name="WHAT WENT WELL"/>
    <tableColumn id="2" xr3:uid="{C2A84E12-9BC7-4194-9393-EB8BE066C7C5}" name="WHAT WENT LESS WELL"/>
    <tableColumn id="3" xr3:uid="{0F7EE9A8-7C5D-411F-8A35-B556A69516AA}" name="HOW COULD WE DO BETTER?"/>
    <tableColumn id="4" xr3:uid="{6C3FC4C4-9846-49E1-85C2-75B528914376}" name="LESSONS LEARNED"/>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10-30T16:03:31.53" personId="{EA00FE22-B7E1-44F3-BEF5-27CF6C83A42D}" id="{F99D0D2B-AF07-43CF-9DDB-0EECA671F1BB}">
    <text>In this column list things such as:
- Material requirements
- Software requirements
- Other requirements
- Cost ($)
- Cost (t)</text>
  </threadedComment>
  <threadedComment ref="C2" dT="2024-10-30T16:04:27.46" personId="{EA00FE22-B7E1-44F3-BEF5-27CF6C83A42D}" id="{D1857816-018D-47FA-AC17-0531C14DA29B}">
    <text>Describe what progress should be made during week 1.</text>
  </threadedComment>
  <threadedComment ref="D2" dT="2024-10-30T16:04:37.47" personId="{EA00FE22-B7E1-44F3-BEF5-27CF6C83A42D}" id="{1D6E4072-1457-401E-90EC-C2537E03AF0C}">
    <text>Describe what progress should be made during week 2.</text>
  </threadedComment>
  <threadedComment ref="E2" dT="2024-10-30T16:04:45.25" personId="{EA00FE22-B7E1-44F3-BEF5-27CF6C83A42D}" id="{52963A13-18EB-4ECD-BD77-9461C8319BAA}">
    <text>Describe what progress should be made during week 3.</text>
  </threadedComment>
  <threadedComment ref="F2" dT="2024-10-30T16:08:36.75" personId="{EA00FE22-B7E1-44F3-BEF5-27CF6C83A42D}" id="{E3455904-888C-40D9-A691-AFBABD7431C8}">
    <text>In this column list your ideal final product, and the form it should take.
- What functionality should it exhibit?
- What role does the user play in the product’s functionality?
- Are the materials used 3d printed, handmade or bought?
- Give some thought to allowing for alternate materials and functionality if your initial design does not work out.
- List other considerations, e.g. would some that is physically disabled be able to use your design? Is there a workaround? These can also be  improvement made to the next iteration of your design.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5520-4E3C-4F3F-8D63-8D94901CC04E}">
  <dimension ref="A1:F6"/>
  <sheetViews>
    <sheetView workbookViewId="0">
      <pane ySplit="2" topLeftCell="A3" activePane="bottomLeft" state="frozen"/>
      <selection pane="bottomLeft" activeCell="A3" sqref="A3"/>
    </sheetView>
  </sheetViews>
  <sheetFormatPr defaultRowHeight="13.8" x14ac:dyDescent="0.25"/>
  <cols>
    <col min="1" max="6" width="15.19921875" customWidth="1"/>
  </cols>
  <sheetData>
    <row r="1" spans="1:6" ht="89.55" customHeight="1" x14ac:dyDescent="0.25">
      <c r="A1" s="92" t="s">
        <v>24</v>
      </c>
      <c r="B1" s="92"/>
      <c r="C1" s="92"/>
      <c r="D1" s="92"/>
      <c r="E1" s="92"/>
      <c r="F1" s="92"/>
    </row>
    <row r="2" spans="1:6" x14ac:dyDescent="0.25">
      <c r="A2" t="s">
        <v>12</v>
      </c>
      <c r="B2" t="s">
        <v>2</v>
      </c>
      <c r="C2" t="s">
        <v>13</v>
      </c>
      <c r="D2" t="s">
        <v>14</v>
      </c>
      <c r="E2" t="s">
        <v>15</v>
      </c>
      <c r="F2" t="s">
        <v>16</v>
      </c>
    </row>
    <row r="3" spans="1:6" x14ac:dyDescent="0.25">
      <c r="A3" s="90"/>
      <c r="B3" s="90"/>
      <c r="C3" s="90"/>
      <c r="D3" s="90"/>
      <c r="E3" s="90"/>
      <c r="F3" s="90"/>
    </row>
    <row r="4" spans="1:6" x14ac:dyDescent="0.25">
      <c r="B4" s="90"/>
      <c r="C4" s="90"/>
      <c r="D4" s="90"/>
      <c r="E4" s="90"/>
      <c r="F4" s="90"/>
    </row>
    <row r="5" spans="1:6" x14ac:dyDescent="0.25">
      <c r="A5" s="90"/>
      <c r="B5" s="90"/>
      <c r="C5" s="90"/>
      <c r="D5" s="90"/>
      <c r="E5" s="90"/>
      <c r="F5" s="90"/>
    </row>
    <row r="6" spans="1:6" x14ac:dyDescent="0.25">
      <c r="A6" s="90"/>
      <c r="B6" s="90"/>
      <c r="C6" s="90"/>
      <c r="D6" s="90"/>
      <c r="E6" s="90"/>
      <c r="F6" s="90"/>
    </row>
  </sheetData>
  <mergeCells count="1">
    <mergeCell ref="A1:F1"/>
  </mergeCell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5"/>
  <sheetViews>
    <sheetView showGridLines="0" tabSelected="1" showRuler="0" topLeftCell="C1" zoomScale="85" zoomScaleNormal="85" zoomScalePageLayoutView="70" workbookViewId="0">
      <selection activeCell="AA10" sqref="AA10"/>
    </sheetView>
  </sheetViews>
  <sheetFormatPr defaultColWidth="8.69921875" defaultRowHeight="30" customHeight="1" x14ac:dyDescent="0.25"/>
  <cols>
    <col min="1" max="1" width="2.69921875" style="7" customWidth="1"/>
    <col min="2" max="2" width="22.699218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05">
      <c r="A1" s="8"/>
      <c r="B1" s="91" t="s">
        <v>37</v>
      </c>
      <c r="C1" s="12"/>
      <c r="D1" s="13"/>
      <c r="E1" s="14"/>
      <c r="F1" s="15"/>
      <c r="G1" s="69"/>
      <c r="H1" s="1"/>
      <c r="I1" s="102" t="s">
        <v>9</v>
      </c>
      <c r="J1" s="103"/>
      <c r="K1" s="103"/>
      <c r="L1" s="103"/>
      <c r="M1" s="103"/>
      <c r="N1" s="103"/>
      <c r="O1" s="103"/>
      <c r="P1" s="70"/>
      <c r="Q1" s="100">
        <v>45970</v>
      </c>
      <c r="R1" s="101"/>
      <c r="S1" s="101"/>
      <c r="T1" s="101"/>
      <c r="U1" s="101"/>
      <c r="V1" s="101"/>
      <c r="W1" s="101"/>
      <c r="X1" s="101"/>
      <c r="Y1" s="101"/>
      <c r="Z1" s="101"/>
    </row>
    <row r="2" spans="1:64" ht="30" customHeight="1" x14ac:dyDescent="0.6">
      <c r="B2" s="67" t="s">
        <v>38</v>
      </c>
      <c r="C2" s="68">
        <v>400453713</v>
      </c>
      <c r="D2" s="16"/>
      <c r="E2" s="17"/>
      <c r="F2" s="16"/>
      <c r="G2" s="69"/>
      <c r="H2" s="69"/>
      <c r="I2" s="102" t="s">
        <v>10</v>
      </c>
      <c r="J2" s="103"/>
      <c r="K2" s="103"/>
      <c r="L2" s="103"/>
      <c r="M2" s="103"/>
      <c r="N2" s="103"/>
      <c r="O2" s="103"/>
      <c r="P2" s="70"/>
      <c r="Q2" s="98">
        <v>0</v>
      </c>
      <c r="R2" s="99"/>
      <c r="S2" s="99"/>
      <c r="T2" s="99"/>
      <c r="U2" s="99"/>
      <c r="V2" s="99"/>
      <c r="W2" s="99"/>
      <c r="X2" s="99"/>
      <c r="Y2" s="99"/>
      <c r="Z2" s="99"/>
    </row>
    <row r="3" spans="1:64" s="18" customFormat="1" ht="30" customHeight="1" x14ac:dyDescent="0.25">
      <c r="A3" s="7"/>
      <c r="B3" s="67" t="s">
        <v>39</v>
      </c>
      <c r="C3" s="68">
        <v>400450151</v>
      </c>
      <c r="D3" s="19"/>
      <c r="E3" s="20"/>
    </row>
    <row r="4" spans="1:64" s="18" customFormat="1" ht="30" customHeight="1" x14ac:dyDescent="0.25">
      <c r="A4" s="8"/>
      <c r="B4" s="21"/>
      <c r="E4" s="22"/>
      <c r="I4" s="95">
        <f>I5</f>
        <v>45964</v>
      </c>
      <c r="J4" s="93"/>
      <c r="K4" s="93"/>
      <c r="L4" s="93"/>
      <c r="M4" s="93"/>
      <c r="N4" s="93"/>
      <c r="O4" s="93"/>
      <c r="P4" s="93">
        <f>P5</f>
        <v>45971</v>
      </c>
      <c r="Q4" s="93"/>
      <c r="R4" s="93"/>
      <c r="S4" s="93"/>
      <c r="T4" s="93"/>
      <c r="U4" s="93"/>
      <c r="V4" s="93"/>
      <c r="W4" s="93">
        <f>W5</f>
        <v>45978</v>
      </c>
      <c r="X4" s="93"/>
      <c r="Y4" s="93"/>
      <c r="Z4" s="93"/>
      <c r="AA4" s="93"/>
      <c r="AB4" s="93"/>
      <c r="AC4" s="93"/>
      <c r="AD4" s="93">
        <f>AD5</f>
        <v>45985</v>
      </c>
      <c r="AE4" s="93"/>
      <c r="AF4" s="93"/>
      <c r="AG4" s="93"/>
      <c r="AH4" s="93"/>
      <c r="AI4" s="93"/>
      <c r="AJ4" s="93"/>
      <c r="AK4" s="93">
        <f>AK5</f>
        <v>45992</v>
      </c>
      <c r="AL4" s="93"/>
      <c r="AM4" s="93"/>
      <c r="AN4" s="93"/>
      <c r="AO4" s="93"/>
      <c r="AP4" s="93"/>
      <c r="AQ4" s="93"/>
      <c r="AR4" s="93">
        <f>AR5</f>
        <v>45999</v>
      </c>
      <c r="AS4" s="93"/>
      <c r="AT4" s="93"/>
      <c r="AU4" s="93"/>
      <c r="AV4" s="93"/>
      <c r="AW4" s="93"/>
      <c r="AX4" s="93"/>
      <c r="AY4" s="93">
        <f>AY5</f>
        <v>46006</v>
      </c>
      <c r="AZ4" s="93"/>
      <c r="BA4" s="93"/>
      <c r="BB4" s="93"/>
      <c r="BC4" s="93"/>
      <c r="BD4" s="93"/>
      <c r="BE4" s="93"/>
      <c r="BF4" s="93">
        <f>BF5</f>
        <v>46013</v>
      </c>
      <c r="BG4" s="93"/>
      <c r="BH4" s="93"/>
      <c r="BI4" s="93"/>
      <c r="BJ4" s="93"/>
      <c r="BK4" s="93"/>
      <c r="BL4" s="94"/>
    </row>
    <row r="5" spans="1:64" s="18" customFormat="1" ht="15" customHeight="1" x14ac:dyDescent="0.25">
      <c r="A5" s="104"/>
      <c r="B5" s="105" t="s">
        <v>4</v>
      </c>
      <c r="C5" s="107" t="s">
        <v>11</v>
      </c>
      <c r="D5" s="96" t="s">
        <v>1</v>
      </c>
      <c r="E5" s="96" t="s">
        <v>2</v>
      </c>
      <c r="F5" s="96" t="s">
        <v>3</v>
      </c>
      <c r="I5" s="23">
        <f>Project_Start-WEEKDAY(Project_Start,1)+2+7*(Display_Week-1)</f>
        <v>45964</v>
      </c>
      <c r="J5" s="23">
        <f>I5+1</f>
        <v>45965</v>
      </c>
      <c r="K5" s="23">
        <f t="shared" ref="K5:AX5" si="0">J5+1</f>
        <v>45966</v>
      </c>
      <c r="L5" s="23">
        <f t="shared" si="0"/>
        <v>45967</v>
      </c>
      <c r="M5" s="23">
        <f t="shared" si="0"/>
        <v>45968</v>
      </c>
      <c r="N5" s="23">
        <f t="shared" si="0"/>
        <v>45969</v>
      </c>
      <c r="O5" s="24">
        <f t="shared" si="0"/>
        <v>45970</v>
      </c>
      <c r="P5" s="25">
        <f>O5+1</f>
        <v>45971</v>
      </c>
      <c r="Q5" s="23">
        <f>P5+1</f>
        <v>45972</v>
      </c>
      <c r="R5" s="23">
        <f t="shared" si="0"/>
        <v>45973</v>
      </c>
      <c r="S5" s="23">
        <f t="shared" si="0"/>
        <v>45974</v>
      </c>
      <c r="T5" s="23">
        <f t="shared" si="0"/>
        <v>45975</v>
      </c>
      <c r="U5" s="23">
        <f t="shared" si="0"/>
        <v>45976</v>
      </c>
      <c r="V5" s="24">
        <f t="shared" si="0"/>
        <v>45977</v>
      </c>
      <c r="W5" s="25">
        <f>V5+1</f>
        <v>45978</v>
      </c>
      <c r="X5" s="23">
        <f>W5+1</f>
        <v>45979</v>
      </c>
      <c r="Y5" s="23">
        <f t="shared" si="0"/>
        <v>45980</v>
      </c>
      <c r="Z5" s="23">
        <f t="shared" si="0"/>
        <v>45981</v>
      </c>
      <c r="AA5" s="23">
        <f t="shared" si="0"/>
        <v>45982</v>
      </c>
      <c r="AB5" s="23">
        <f t="shared" si="0"/>
        <v>45983</v>
      </c>
      <c r="AC5" s="24">
        <f t="shared" si="0"/>
        <v>45984</v>
      </c>
      <c r="AD5" s="25">
        <f>AC5+1</f>
        <v>45985</v>
      </c>
      <c r="AE5" s="23">
        <f>AD5+1</f>
        <v>45986</v>
      </c>
      <c r="AF5" s="23">
        <f t="shared" si="0"/>
        <v>45987</v>
      </c>
      <c r="AG5" s="23">
        <f t="shared" si="0"/>
        <v>45988</v>
      </c>
      <c r="AH5" s="23">
        <f t="shared" si="0"/>
        <v>45989</v>
      </c>
      <c r="AI5" s="23">
        <f t="shared" si="0"/>
        <v>45990</v>
      </c>
      <c r="AJ5" s="24">
        <f t="shared" si="0"/>
        <v>45991</v>
      </c>
      <c r="AK5" s="25">
        <f>AJ5+1</f>
        <v>45992</v>
      </c>
      <c r="AL5" s="23">
        <f>AK5+1</f>
        <v>45993</v>
      </c>
      <c r="AM5" s="23">
        <f t="shared" si="0"/>
        <v>45994</v>
      </c>
      <c r="AN5" s="23">
        <f t="shared" si="0"/>
        <v>45995</v>
      </c>
      <c r="AO5" s="23">
        <f t="shared" si="0"/>
        <v>45996</v>
      </c>
      <c r="AP5" s="23">
        <f t="shared" si="0"/>
        <v>45997</v>
      </c>
      <c r="AQ5" s="24">
        <f t="shared" si="0"/>
        <v>45998</v>
      </c>
      <c r="AR5" s="25">
        <f>AQ5+1</f>
        <v>45999</v>
      </c>
      <c r="AS5" s="23">
        <f>AR5+1</f>
        <v>46000</v>
      </c>
      <c r="AT5" s="23">
        <f t="shared" si="0"/>
        <v>46001</v>
      </c>
      <c r="AU5" s="23">
        <f t="shared" si="0"/>
        <v>46002</v>
      </c>
      <c r="AV5" s="23">
        <f t="shared" si="0"/>
        <v>46003</v>
      </c>
      <c r="AW5" s="23">
        <f t="shared" si="0"/>
        <v>46004</v>
      </c>
      <c r="AX5" s="24">
        <f t="shared" si="0"/>
        <v>46005</v>
      </c>
      <c r="AY5" s="25">
        <f>AX5+1</f>
        <v>46006</v>
      </c>
      <c r="AZ5" s="23">
        <f>AY5+1</f>
        <v>46007</v>
      </c>
      <c r="BA5" s="23">
        <f t="shared" ref="BA5:BE5" si="1">AZ5+1</f>
        <v>46008</v>
      </c>
      <c r="BB5" s="23">
        <f t="shared" si="1"/>
        <v>46009</v>
      </c>
      <c r="BC5" s="23">
        <f t="shared" si="1"/>
        <v>46010</v>
      </c>
      <c r="BD5" s="23">
        <f t="shared" si="1"/>
        <v>46011</v>
      </c>
      <c r="BE5" s="24">
        <f t="shared" si="1"/>
        <v>46012</v>
      </c>
      <c r="BF5" s="25">
        <f>BE5+1</f>
        <v>46013</v>
      </c>
      <c r="BG5" s="23">
        <f>BF5+1</f>
        <v>46014</v>
      </c>
      <c r="BH5" s="23">
        <f t="shared" ref="BH5:BL5" si="2">BG5+1</f>
        <v>46015</v>
      </c>
      <c r="BI5" s="23">
        <f t="shared" si="2"/>
        <v>46016</v>
      </c>
      <c r="BJ5" s="23">
        <f t="shared" si="2"/>
        <v>46017</v>
      </c>
      <c r="BK5" s="23">
        <f t="shared" si="2"/>
        <v>46018</v>
      </c>
      <c r="BL5" s="23">
        <f t="shared" si="2"/>
        <v>46019</v>
      </c>
    </row>
    <row r="6" spans="1:64" s="18" customFormat="1" ht="15" customHeight="1" thickBot="1" x14ac:dyDescent="0.3">
      <c r="A6" s="104"/>
      <c r="B6" s="106"/>
      <c r="C6" s="97"/>
      <c r="D6" s="97"/>
      <c r="E6" s="97"/>
      <c r="F6" s="97"/>
      <c r="I6" s="26" t="str">
        <f t="shared" ref="I6:AN6" si="3">LEFT(TEXT(I5,"ddd"),1)</f>
        <v>M</v>
      </c>
      <c r="J6" s="27" t="str">
        <f t="shared" si="3"/>
        <v>T</v>
      </c>
      <c r="K6" s="27" t="str">
        <f t="shared" si="3"/>
        <v>W</v>
      </c>
      <c r="L6" s="27" t="str">
        <f t="shared" si="3"/>
        <v>T</v>
      </c>
      <c r="M6" s="27" t="str">
        <f t="shared" si="3"/>
        <v>F</v>
      </c>
      <c r="N6" s="27" t="str">
        <f t="shared" si="3"/>
        <v>S</v>
      </c>
      <c r="O6" s="27" t="str">
        <f t="shared" si="3"/>
        <v>S</v>
      </c>
      <c r="P6" s="27" t="str">
        <f t="shared" si="3"/>
        <v>M</v>
      </c>
      <c r="Q6" s="27" t="str">
        <f t="shared" si="3"/>
        <v>T</v>
      </c>
      <c r="R6" s="27" t="str">
        <f t="shared" si="3"/>
        <v>W</v>
      </c>
      <c r="S6" s="27" t="str">
        <f t="shared" si="3"/>
        <v>T</v>
      </c>
      <c r="T6" s="27" t="str">
        <f t="shared" si="3"/>
        <v>F</v>
      </c>
      <c r="U6" s="27" t="str">
        <f t="shared" si="3"/>
        <v>S</v>
      </c>
      <c r="V6" s="27" t="str">
        <f t="shared" si="3"/>
        <v>S</v>
      </c>
      <c r="W6" s="27" t="str">
        <f t="shared" si="3"/>
        <v>M</v>
      </c>
      <c r="X6" s="27" t="str">
        <f t="shared" si="3"/>
        <v>T</v>
      </c>
      <c r="Y6" s="27" t="str">
        <f t="shared" si="3"/>
        <v>W</v>
      </c>
      <c r="Z6" s="27" t="str">
        <f t="shared" si="3"/>
        <v>T</v>
      </c>
      <c r="AA6" s="27" t="str">
        <f t="shared" si="3"/>
        <v>F</v>
      </c>
      <c r="AB6" s="27" t="str">
        <f t="shared" si="3"/>
        <v>S</v>
      </c>
      <c r="AC6" s="27" t="str">
        <f t="shared" si="3"/>
        <v>S</v>
      </c>
      <c r="AD6" s="27" t="str">
        <f t="shared" si="3"/>
        <v>M</v>
      </c>
      <c r="AE6" s="27" t="str">
        <f t="shared" si="3"/>
        <v>T</v>
      </c>
      <c r="AF6" s="27" t="str">
        <f t="shared" si="3"/>
        <v>W</v>
      </c>
      <c r="AG6" s="27" t="str">
        <f t="shared" si="3"/>
        <v>T</v>
      </c>
      <c r="AH6" s="27" t="str">
        <f t="shared" si="3"/>
        <v>F</v>
      </c>
      <c r="AI6" s="27" t="str">
        <f t="shared" si="3"/>
        <v>S</v>
      </c>
      <c r="AJ6" s="27" t="str">
        <f t="shared" si="3"/>
        <v>S</v>
      </c>
      <c r="AK6" s="27" t="str">
        <f t="shared" si="3"/>
        <v>M</v>
      </c>
      <c r="AL6" s="27" t="str">
        <f t="shared" si="3"/>
        <v>T</v>
      </c>
      <c r="AM6" s="27" t="str">
        <f t="shared" si="3"/>
        <v>W</v>
      </c>
      <c r="AN6" s="27" t="str">
        <f t="shared" si="3"/>
        <v>T</v>
      </c>
      <c r="AO6" s="27" t="str">
        <f t="shared" ref="AO6:BL6" si="4">LEFT(TEXT(AO5,"ddd"),1)</f>
        <v>F</v>
      </c>
      <c r="AP6" s="27" t="str">
        <f t="shared" si="4"/>
        <v>S</v>
      </c>
      <c r="AQ6" s="27" t="str">
        <f t="shared" si="4"/>
        <v>S</v>
      </c>
      <c r="AR6" s="27" t="str">
        <f t="shared" si="4"/>
        <v>M</v>
      </c>
      <c r="AS6" s="27" t="str">
        <f t="shared" si="4"/>
        <v>T</v>
      </c>
      <c r="AT6" s="27" t="str">
        <f t="shared" si="4"/>
        <v>W</v>
      </c>
      <c r="AU6" s="27" t="str">
        <f t="shared" si="4"/>
        <v>T</v>
      </c>
      <c r="AV6" s="27" t="str">
        <f t="shared" si="4"/>
        <v>F</v>
      </c>
      <c r="AW6" s="27" t="str">
        <f t="shared" si="4"/>
        <v>S</v>
      </c>
      <c r="AX6" s="27" t="str">
        <f t="shared" si="4"/>
        <v>S</v>
      </c>
      <c r="AY6" s="27" t="str">
        <f t="shared" si="4"/>
        <v>M</v>
      </c>
      <c r="AZ6" s="27" t="str">
        <f t="shared" si="4"/>
        <v>T</v>
      </c>
      <c r="BA6" s="27" t="str">
        <f t="shared" si="4"/>
        <v>W</v>
      </c>
      <c r="BB6" s="27" t="str">
        <f t="shared" si="4"/>
        <v>T</v>
      </c>
      <c r="BC6" s="27" t="str">
        <f t="shared" si="4"/>
        <v>F</v>
      </c>
      <c r="BD6" s="27" t="str">
        <f t="shared" si="4"/>
        <v>S</v>
      </c>
      <c r="BE6" s="27" t="str">
        <f t="shared" si="4"/>
        <v>S</v>
      </c>
      <c r="BF6" s="27" t="str">
        <f t="shared" si="4"/>
        <v>M</v>
      </c>
      <c r="BG6" s="27" t="str">
        <f t="shared" si="4"/>
        <v>T</v>
      </c>
      <c r="BH6" s="27" t="str">
        <f t="shared" si="4"/>
        <v>W</v>
      </c>
      <c r="BI6" s="27" t="str">
        <f t="shared" si="4"/>
        <v>T</v>
      </c>
      <c r="BJ6" s="27" t="str">
        <f t="shared" si="4"/>
        <v>F</v>
      </c>
      <c r="BK6" s="27" t="str">
        <f t="shared" si="4"/>
        <v>S</v>
      </c>
      <c r="BL6" s="28" t="str">
        <f t="shared" si="4"/>
        <v>S</v>
      </c>
    </row>
    <row r="7" spans="1:64" s="18" customFormat="1" ht="30" hidden="1" customHeight="1" thickBot="1" x14ac:dyDescent="0.3">
      <c r="A7" s="7" t="s">
        <v>5</v>
      </c>
      <c r="B7" s="29"/>
      <c r="C7" s="30"/>
      <c r="D7" s="29"/>
      <c r="E7" s="29"/>
      <c r="F7" s="29"/>
      <c r="H7" s="18"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3" customFormat="1" ht="30" customHeight="1" thickBot="1" x14ac:dyDescent="0.3">
      <c r="A8" s="8"/>
      <c r="B8" s="71" t="s">
        <v>6</v>
      </c>
      <c r="C8" s="72"/>
      <c r="D8" s="73"/>
      <c r="E8" s="74"/>
      <c r="F8" s="75"/>
      <c r="G8" s="11"/>
      <c r="H8" s="5" t="str">
        <f t="shared" ref="H8:H32" si="5">IF(OR(ISBLANK(task_start),ISBLANK(task_end)),"",task_end-task_start+1)</f>
        <v/>
      </c>
      <c r="I8" s="32"/>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2"/>
      <c r="BK8" s="32"/>
      <c r="BL8" s="32"/>
    </row>
    <row r="9" spans="1:64" s="33" customFormat="1" ht="30" customHeight="1" thickBot="1" x14ac:dyDescent="0.3">
      <c r="A9" s="8"/>
      <c r="B9" s="81" t="s">
        <v>47</v>
      </c>
      <c r="C9" s="82" t="s">
        <v>55</v>
      </c>
      <c r="D9" s="83">
        <v>0</v>
      </c>
      <c r="E9" s="84">
        <f>Project_Start</f>
        <v>45970</v>
      </c>
      <c r="F9" s="84">
        <v>45970</v>
      </c>
      <c r="G9" s="11"/>
      <c r="H9" s="5">
        <f t="shared" si="5"/>
        <v>1</v>
      </c>
      <c r="I9" s="34"/>
      <c r="J9" s="34"/>
      <c r="K9" s="34"/>
      <c r="L9" s="34"/>
      <c r="M9" s="34"/>
      <c r="N9" s="34"/>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row>
    <row r="10" spans="1:64" s="33" customFormat="1" ht="30" customHeight="1" thickBot="1" x14ac:dyDescent="0.3">
      <c r="A10" s="8"/>
      <c r="B10" s="85" t="s">
        <v>61</v>
      </c>
      <c r="C10" s="86" t="s">
        <v>55</v>
      </c>
      <c r="D10" s="87">
        <v>0</v>
      </c>
      <c r="E10" s="88">
        <f>F9</f>
        <v>45970</v>
      </c>
      <c r="F10" s="88">
        <v>45970</v>
      </c>
      <c r="G10" s="11"/>
      <c r="H10" s="5">
        <f t="shared" si="5"/>
        <v>1</v>
      </c>
      <c r="K10" s="34"/>
      <c r="L10" s="34"/>
      <c r="M10" s="34"/>
      <c r="N10" s="34"/>
      <c r="O10" s="34"/>
      <c r="P10" s="34"/>
      <c r="Q10" s="34"/>
      <c r="R10" s="34"/>
      <c r="S10" s="34"/>
      <c r="T10" s="34"/>
      <c r="U10" s="38"/>
      <c r="V10" s="38"/>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4" s="33" customFormat="1" ht="30" customHeight="1" thickBot="1" x14ac:dyDescent="0.3">
      <c r="A11" s="8"/>
      <c r="B11" s="76" t="s">
        <v>7</v>
      </c>
      <c r="C11" s="77"/>
      <c r="D11" s="78"/>
      <c r="E11" s="79"/>
      <c r="F11" s="80"/>
      <c r="G11" s="11"/>
      <c r="H11" s="5" t="str">
        <f t="shared" si="5"/>
        <v/>
      </c>
    </row>
    <row r="12" spans="1:64" s="33" customFormat="1" ht="30" customHeight="1" thickBot="1" x14ac:dyDescent="0.3">
      <c r="A12" s="8"/>
      <c r="B12" s="110" t="s">
        <v>62</v>
      </c>
      <c r="C12" s="35" t="s">
        <v>57</v>
      </c>
      <c r="D12" s="36">
        <v>0</v>
      </c>
      <c r="E12" s="37">
        <v>45971</v>
      </c>
      <c r="F12" s="37">
        <f>E12+0</f>
        <v>45971</v>
      </c>
      <c r="G12" s="11"/>
      <c r="H12" s="5">
        <f t="shared" si="5"/>
        <v>1</v>
      </c>
      <c r="I12" s="34"/>
      <c r="J12" s="34"/>
      <c r="K12" s="34"/>
      <c r="L12" s="34"/>
      <c r="M12" s="34"/>
      <c r="N12" s="34"/>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row>
    <row r="13" spans="1:64" s="33" customFormat="1" ht="30" customHeight="1" thickBot="1" x14ac:dyDescent="0.3">
      <c r="A13" s="7"/>
      <c r="B13" s="110" t="s">
        <v>63</v>
      </c>
      <c r="C13" s="35" t="s">
        <v>55</v>
      </c>
      <c r="D13" s="36">
        <v>0</v>
      </c>
      <c r="E13" s="37">
        <v>45971</v>
      </c>
      <c r="F13" s="37">
        <f>E13+0</f>
        <v>45971</v>
      </c>
      <c r="G13" s="11"/>
      <c r="H13" s="5">
        <f t="shared" si="5"/>
        <v>1</v>
      </c>
      <c r="I13" s="34"/>
      <c r="J13" s="34"/>
      <c r="K13" s="34"/>
      <c r="L13" s="34"/>
      <c r="M13" s="34"/>
      <c r="N13" s="34"/>
      <c r="O13" s="34"/>
      <c r="P13" s="34"/>
      <c r="Q13" s="34"/>
      <c r="R13" s="34"/>
      <c r="S13" s="34"/>
      <c r="T13" s="34"/>
      <c r="U13" s="38"/>
      <c r="V13" s="38"/>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row>
    <row r="14" spans="1:64" s="33" customFormat="1" ht="30" customHeight="1" thickBot="1" x14ac:dyDescent="0.3">
      <c r="A14" s="7"/>
      <c r="B14" s="110" t="s">
        <v>64</v>
      </c>
      <c r="C14" s="35" t="s">
        <v>57</v>
      </c>
      <c r="D14" s="36">
        <v>0</v>
      </c>
      <c r="E14" s="37">
        <v>45971</v>
      </c>
      <c r="F14" s="37">
        <f>E14+0</f>
        <v>45971</v>
      </c>
      <c r="G14" s="11"/>
      <c r="H14" s="5">
        <f t="shared" si="5"/>
        <v>1</v>
      </c>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row>
    <row r="15" spans="1:64" s="33" customFormat="1" ht="30" customHeight="1" thickBot="1" x14ac:dyDescent="0.3">
      <c r="A15" s="7"/>
      <c r="B15" s="110" t="s">
        <v>65</v>
      </c>
      <c r="C15" s="35" t="s">
        <v>57</v>
      </c>
      <c r="D15" s="36">
        <v>0</v>
      </c>
      <c r="E15" s="37">
        <v>45972</v>
      </c>
      <c r="F15" s="37">
        <f>E15+1</f>
        <v>45973</v>
      </c>
      <c r="G15" s="11"/>
      <c r="H15" s="5">
        <f t="shared" si="5"/>
        <v>2</v>
      </c>
      <c r="I15" s="34"/>
      <c r="J15" s="34"/>
      <c r="K15" s="34"/>
      <c r="L15" s="34"/>
      <c r="M15" s="34"/>
      <c r="N15" s="34"/>
      <c r="O15" s="34"/>
      <c r="P15" s="34"/>
      <c r="Q15" s="34"/>
      <c r="R15" s="34"/>
      <c r="S15" s="34"/>
      <c r="T15" s="34"/>
      <c r="U15" s="34"/>
      <c r="V15" s="34"/>
      <c r="W15" s="34"/>
      <c r="X15" s="34"/>
      <c r="Y15" s="38"/>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row>
    <row r="16" spans="1:64" s="33" customFormat="1" ht="30" customHeight="1" thickBot="1" x14ac:dyDescent="0.3">
      <c r="A16" s="7"/>
      <c r="B16" s="110" t="s">
        <v>66</v>
      </c>
      <c r="C16" s="35" t="s">
        <v>57</v>
      </c>
      <c r="D16" s="36">
        <v>0</v>
      </c>
      <c r="E16" s="37">
        <v>45972</v>
      </c>
      <c r="F16" s="37">
        <f>E16+2</f>
        <v>45974</v>
      </c>
      <c r="G16" s="11"/>
      <c r="H16" s="5">
        <f t="shared" si="5"/>
        <v>3</v>
      </c>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row>
    <row r="17" spans="1:64" s="33" customFormat="1" ht="30" customHeight="1" thickBot="1" x14ac:dyDescent="0.3">
      <c r="A17" s="7"/>
      <c r="B17" s="111" t="s">
        <v>67</v>
      </c>
      <c r="C17" s="112" t="s">
        <v>57</v>
      </c>
      <c r="D17" s="114">
        <v>0</v>
      </c>
      <c r="E17" s="113">
        <v>45974</v>
      </c>
      <c r="F17" s="37">
        <f>E17+2</f>
        <v>45976</v>
      </c>
      <c r="G17" s="11"/>
      <c r="H17" s="5"/>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row>
    <row r="18" spans="1:64" s="33" customFormat="1" ht="30" customHeight="1" thickBot="1" x14ac:dyDescent="0.3">
      <c r="A18" s="7"/>
      <c r="B18" s="39" t="s">
        <v>8</v>
      </c>
      <c r="C18" s="40"/>
      <c r="D18" s="41"/>
      <c r="E18" s="42"/>
      <c r="F18" s="43"/>
      <c r="G18" s="11"/>
      <c r="H18" s="5" t="str">
        <f t="shared" si="5"/>
        <v/>
      </c>
      <c r="I18" s="44"/>
      <c r="J18" s="44"/>
      <c r="K18" s="44"/>
      <c r="L18" s="44"/>
      <c r="M18" s="44"/>
      <c r="N18" s="44"/>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row>
    <row r="19" spans="1:64" s="33" customFormat="1" ht="30" customHeight="1" thickBot="1" x14ac:dyDescent="0.3">
      <c r="A19" s="7"/>
      <c r="B19" s="115" t="s">
        <v>69</v>
      </c>
      <c r="C19" s="45" t="s">
        <v>55</v>
      </c>
      <c r="D19" s="46">
        <v>0</v>
      </c>
      <c r="E19" s="47">
        <v>45972</v>
      </c>
      <c r="F19" s="47">
        <f>E19+2</f>
        <v>45974</v>
      </c>
      <c r="G19" s="11"/>
      <c r="H19" s="5">
        <f t="shared" si="5"/>
        <v>3</v>
      </c>
      <c r="I19" s="34"/>
      <c r="J19" s="3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row>
    <row r="20" spans="1:64" s="33" customFormat="1" ht="30" customHeight="1" thickBot="1" x14ac:dyDescent="0.3">
      <c r="A20" s="7"/>
      <c r="B20" s="115" t="s">
        <v>70</v>
      </c>
      <c r="C20" s="45" t="s">
        <v>55</v>
      </c>
      <c r="D20" s="46">
        <v>0</v>
      </c>
      <c r="E20" s="47">
        <v>45972</v>
      </c>
      <c r="F20" s="47">
        <f>E20</f>
        <v>45972</v>
      </c>
      <c r="G20" s="11"/>
      <c r="H20" s="5">
        <f t="shared" si="5"/>
        <v>1</v>
      </c>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row>
    <row r="21" spans="1:64" s="33" customFormat="1" ht="30" customHeight="1" thickBot="1" x14ac:dyDescent="0.3">
      <c r="A21" s="7"/>
      <c r="B21" s="115" t="s">
        <v>71</v>
      </c>
      <c r="C21" s="45" t="s">
        <v>55</v>
      </c>
      <c r="D21" s="46">
        <v>0</v>
      </c>
      <c r="E21" s="47">
        <v>45973</v>
      </c>
      <c r="F21" s="47">
        <f>E21</f>
        <v>45973</v>
      </c>
      <c r="G21" s="11"/>
      <c r="H21" s="5">
        <f t="shared" si="5"/>
        <v>1</v>
      </c>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row>
    <row r="22" spans="1:64" s="33" customFormat="1" ht="30" customHeight="1" thickBot="1" x14ac:dyDescent="0.3">
      <c r="A22" s="7"/>
      <c r="B22" s="115" t="s">
        <v>72</v>
      </c>
      <c r="C22" s="45" t="s">
        <v>78</v>
      </c>
      <c r="D22" s="46">
        <v>0</v>
      </c>
      <c r="E22" s="47">
        <v>45976</v>
      </c>
      <c r="F22" s="47">
        <f>E22+1</f>
        <v>45977</v>
      </c>
      <c r="G22" s="11"/>
      <c r="H22" s="5">
        <f t="shared" si="5"/>
        <v>2</v>
      </c>
      <c r="I22" s="34"/>
      <c r="J22" s="34"/>
      <c r="K22" s="34"/>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row>
    <row r="23" spans="1:64" s="33" customFormat="1" ht="30" customHeight="1" thickBot="1" x14ac:dyDescent="0.3">
      <c r="A23" s="7"/>
      <c r="B23" s="115" t="s">
        <v>73</v>
      </c>
      <c r="C23" s="45" t="s">
        <v>78</v>
      </c>
      <c r="D23" s="46">
        <v>0</v>
      </c>
      <c r="E23" s="47">
        <v>45977</v>
      </c>
      <c r="F23" s="47">
        <f>E23</f>
        <v>45977</v>
      </c>
      <c r="G23" s="11"/>
      <c r="H23" s="5">
        <f t="shared" si="5"/>
        <v>1</v>
      </c>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c r="BA23" s="34"/>
      <c r="BB23" s="34"/>
      <c r="BC23" s="34"/>
      <c r="BD23" s="34"/>
      <c r="BE23" s="34"/>
      <c r="BF23" s="34"/>
      <c r="BG23" s="34"/>
      <c r="BH23" s="34"/>
      <c r="BI23" s="34"/>
      <c r="BJ23" s="34"/>
      <c r="BK23" s="34"/>
      <c r="BL23" s="34"/>
    </row>
    <row r="24" spans="1:64" s="33" customFormat="1" ht="30" customHeight="1" thickBot="1" x14ac:dyDescent="0.3">
      <c r="A24" s="7"/>
      <c r="B24" s="122" t="s">
        <v>74</v>
      </c>
      <c r="C24" s="45" t="s">
        <v>78</v>
      </c>
      <c r="D24" s="118">
        <v>0</v>
      </c>
      <c r="E24" s="119">
        <v>45976</v>
      </c>
      <c r="F24" s="47">
        <f>E24+2</f>
        <v>45978</v>
      </c>
      <c r="G24" s="11"/>
      <c r="H24" s="5"/>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row>
    <row r="25" spans="1:64" s="33" customFormat="1" ht="30" customHeight="1" thickBot="1" x14ac:dyDescent="0.3">
      <c r="A25" s="7"/>
      <c r="B25" s="123" t="s">
        <v>75</v>
      </c>
      <c r="C25" s="45" t="s">
        <v>78</v>
      </c>
      <c r="D25" s="120">
        <v>0</v>
      </c>
      <c r="E25" s="121">
        <v>45978</v>
      </c>
      <c r="F25" s="47">
        <f>E25+1</f>
        <v>45979</v>
      </c>
      <c r="G25" s="11"/>
      <c r="H25" s="5"/>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row>
    <row r="26" spans="1:64" s="33" customFormat="1" ht="30" customHeight="1" thickBot="1" x14ac:dyDescent="0.3">
      <c r="A26" s="7"/>
      <c r="B26" s="123" t="s">
        <v>76</v>
      </c>
      <c r="C26" s="45" t="s">
        <v>78</v>
      </c>
      <c r="D26" s="120">
        <v>0</v>
      </c>
      <c r="E26" s="121">
        <v>45979</v>
      </c>
      <c r="F26" s="47">
        <f t="shared" ref="F26" si="6">E26</f>
        <v>45979</v>
      </c>
      <c r="G26" s="11"/>
      <c r="H26" s="5"/>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row>
    <row r="27" spans="1:64" s="33" customFormat="1" ht="30" customHeight="1" thickBot="1" x14ac:dyDescent="0.3">
      <c r="A27" s="7"/>
      <c r="B27" s="124" t="s">
        <v>77</v>
      </c>
      <c r="C27" s="45" t="s">
        <v>78</v>
      </c>
      <c r="D27" s="116">
        <v>0</v>
      </c>
      <c r="E27" s="117">
        <v>45979</v>
      </c>
      <c r="F27" s="47">
        <v>45980</v>
      </c>
      <c r="G27" s="11"/>
      <c r="H27" s="5"/>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row>
    <row r="28" spans="1:64" s="33" customFormat="1" ht="30" customHeight="1" thickBot="1" x14ac:dyDescent="0.3">
      <c r="A28" s="7"/>
      <c r="B28" s="48" t="s">
        <v>68</v>
      </c>
      <c r="C28" s="49"/>
      <c r="D28" s="50"/>
      <c r="E28" s="51"/>
      <c r="F28" s="52"/>
      <c r="G28" s="11"/>
      <c r="H28" s="5" t="str">
        <f t="shared" si="5"/>
        <v/>
      </c>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row>
    <row r="29" spans="1:64" s="33" customFormat="1" ht="30" customHeight="1" thickBot="1" x14ac:dyDescent="0.3">
      <c r="A29" s="7"/>
      <c r="B29" s="125" t="s">
        <v>79</v>
      </c>
      <c r="C29" s="54" t="s">
        <v>78</v>
      </c>
      <c r="D29" s="55">
        <v>0</v>
      </c>
      <c r="E29" s="56">
        <v>45980</v>
      </c>
      <c r="F29" s="56">
        <f>E29+5</f>
        <v>45985</v>
      </c>
      <c r="G29" s="11"/>
      <c r="H29" s="5">
        <f t="shared" si="5"/>
        <v>6</v>
      </c>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row>
    <row r="30" spans="1:64" s="33" customFormat="1" ht="30" customHeight="1" thickBot="1" x14ac:dyDescent="0.3">
      <c r="A30" s="7"/>
      <c r="B30" s="125" t="s">
        <v>80</v>
      </c>
      <c r="C30" s="54" t="s">
        <v>78</v>
      </c>
      <c r="D30" s="55">
        <v>0</v>
      </c>
      <c r="E30" s="56">
        <v>45980</v>
      </c>
      <c r="F30" s="56">
        <f>E30+5</f>
        <v>45985</v>
      </c>
      <c r="G30" s="11"/>
      <c r="H30" s="5">
        <f t="shared" si="5"/>
        <v>6</v>
      </c>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row>
    <row r="31" spans="1:64" s="33" customFormat="1" ht="30" customHeight="1" thickBot="1" x14ac:dyDescent="0.3">
      <c r="A31" s="7"/>
      <c r="B31" s="57"/>
      <c r="C31" s="58"/>
      <c r="D31" s="59"/>
      <c r="E31" s="60"/>
      <c r="F31" s="60"/>
      <c r="G31" s="11"/>
      <c r="H31" s="5" t="str">
        <f t="shared" si="5"/>
        <v/>
      </c>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row>
    <row r="32" spans="1:64" s="33" customFormat="1" ht="30" customHeight="1" thickBot="1" x14ac:dyDescent="0.3">
      <c r="A32" s="8"/>
      <c r="B32" s="61" t="s">
        <v>0</v>
      </c>
      <c r="C32" s="62"/>
      <c r="D32" s="63"/>
      <c r="E32" s="64"/>
      <c r="F32" s="65"/>
      <c r="G32" s="11"/>
      <c r="H32" s="6" t="str">
        <f t="shared" si="5"/>
        <v/>
      </c>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row>
    <row r="33" spans="3:7" ht="30" customHeight="1" x14ac:dyDescent="0.25">
      <c r="G33" s="3"/>
    </row>
    <row r="34" spans="3:7" ht="30" customHeight="1" x14ac:dyDescent="0.25">
      <c r="C34" s="10"/>
      <c r="F34" s="9"/>
    </row>
    <row r="35" spans="3:7" ht="30" customHeight="1" x14ac:dyDescent="0.25">
      <c r="C35"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2">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9 K10:BL10 I11:BL30">
    <cfRule type="expression" dxfId="11" priority="1">
      <formula>AND(TODAY()&gt;=I$5, TODAY()&lt;J$5)</formula>
    </cfRule>
  </conditionalFormatting>
  <conditionalFormatting sqref="I9:BL9 K10:BL10">
    <cfRule type="expression" dxfId="10" priority="6">
      <formula>AND(task_start&lt;=I$5,ROUNDDOWN((task_end-task_start+1)*task_progress,0)+task_start-1&gt;=I$5)</formula>
    </cfRule>
    <cfRule type="expression" dxfId="9" priority="7" stopIfTrue="1">
      <formula>AND(task_end&gt;=I$5,task_start&lt;J$5)</formula>
    </cfRule>
  </conditionalFormatting>
  <conditionalFormatting sqref="I12:BL17">
    <cfRule type="expression" dxfId="8" priority="4">
      <formula>AND(task_start&lt;=I$5,ROUNDDOWN((task_end-task_start+1)*task_progress,0)+task_start-1&gt;=I$5)</formula>
    </cfRule>
    <cfRule type="expression" dxfId="7" priority="5" stopIfTrue="1">
      <formula>AND(task_end&gt;=I$5,task_start&lt;J$5)</formula>
    </cfRule>
  </conditionalFormatting>
  <conditionalFormatting sqref="I19:BL27">
    <cfRule type="expression" dxfId="6" priority="2">
      <formula>AND(task_start&lt;=I$5,ROUNDDOWN((task_end-task_start+1)*task_progress,0)+task_start-1&gt;=I$5)</formula>
    </cfRule>
    <cfRule type="expression" dxfId="5" priority="3" stopIfTrue="1">
      <formula>AND(task_end&gt;=I$5,task_start&lt;J$5)</formula>
    </cfRule>
  </conditionalFormatting>
  <conditionalFormatting sqref="I29:BL30">
    <cfRule type="expression" dxfId="4" priority="36">
      <formula>AND(task_start&lt;=I$5,ROUNDDOWN((task_end-task_start+1)*task_progress,0)+task_start-1&gt;=I$5)</formula>
    </cfRule>
    <cfRule type="expression" dxfId="3" priority="37" stopIfTrue="1">
      <formula>AND(task_end&gt;=I$5,task_start&lt;J$5)</formula>
    </cfRule>
  </conditionalFormatting>
  <conditionalFormatting sqref="I9">
    <cfRule type="expression" dxfId="2" priority="39">
      <formula>AND(TODAY()&gt;=J$5, TODAY()&lt;K$5)</formula>
    </cfRule>
  </conditionalFormatting>
  <conditionalFormatting sqref="I9">
    <cfRule type="expression" dxfId="1" priority="42">
      <formula>AND(task_start&lt;=J$5,ROUNDDOWN((task_end-task_start+1)*task_progress,0)+task_start-1&gt;=J$5)</formula>
    </cfRule>
    <cfRule type="expression" dxfId="0" priority="43" stopIfTrue="1">
      <formula>AND(task_end&gt;=J$5,task_start&lt;K$5)</formula>
    </cfRule>
  </conditionalFormatting>
  <dataValidations disablePrompts="1"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8"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C622-D38B-401E-AC2A-87098BE949BB}">
  <dimension ref="A1:F9"/>
  <sheetViews>
    <sheetView zoomScale="65" workbookViewId="0">
      <pane ySplit="2" topLeftCell="A3" activePane="bottomLeft" state="frozen"/>
      <selection pane="bottomLeft" activeCell="E8" sqref="E8"/>
    </sheetView>
  </sheetViews>
  <sheetFormatPr defaultRowHeight="13.8" x14ac:dyDescent="0.25"/>
  <cols>
    <col min="1" max="1" width="9" customWidth="1"/>
    <col min="2" max="2" width="15" customWidth="1"/>
    <col min="3" max="3" width="24.296875" customWidth="1"/>
    <col min="4" max="4" width="25.5" customWidth="1"/>
    <col min="5" max="5" width="30" customWidth="1"/>
    <col min="6" max="6" width="23.59765625" customWidth="1"/>
  </cols>
  <sheetData>
    <row r="1" spans="1:6" ht="72" customHeight="1" x14ac:dyDescent="0.25">
      <c r="A1" s="92" t="s">
        <v>23</v>
      </c>
      <c r="B1" s="108"/>
      <c r="C1" s="108"/>
      <c r="D1" s="108"/>
      <c r="E1" s="108"/>
      <c r="F1" s="108"/>
    </row>
    <row r="2" spans="1:6" x14ac:dyDescent="0.25">
      <c r="A2" t="s">
        <v>17</v>
      </c>
      <c r="B2" t="s">
        <v>18</v>
      </c>
      <c r="C2" t="s">
        <v>19</v>
      </c>
      <c r="D2" t="s">
        <v>20</v>
      </c>
      <c r="E2" t="s">
        <v>21</v>
      </c>
      <c r="F2" t="s">
        <v>22</v>
      </c>
    </row>
    <row r="3" spans="1:6" ht="27.6" x14ac:dyDescent="0.25">
      <c r="A3">
        <v>1</v>
      </c>
      <c r="B3" s="90" t="s">
        <v>40</v>
      </c>
      <c r="C3" s="109" t="s">
        <v>48</v>
      </c>
      <c r="D3" t="s">
        <v>55</v>
      </c>
      <c r="E3" t="s">
        <v>58</v>
      </c>
    </row>
    <row r="4" spans="1:6" ht="69" x14ac:dyDescent="0.25">
      <c r="A4">
        <v>2</v>
      </c>
      <c r="B4" s="90" t="s">
        <v>41</v>
      </c>
      <c r="C4" s="109" t="s">
        <v>49</v>
      </c>
      <c r="D4" t="s">
        <v>56</v>
      </c>
      <c r="E4" t="s">
        <v>59</v>
      </c>
    </row>
    <row r="5" spans="1:6" ht="82.8" x14ac:dyDescent="0.25">
      <c r="A5">
        <v>3</v>
      </c>
      <c r="B5" s="90" t="s">
        <v>45</v>
      </c>
      <c r="C5" s="109" t="s">
        <v>50</v>
      </c>
      <c r="D5" t="s">
        <v>55</v>
      </c>
      <c r="E5" t="s">
        <v>59</v>
      </c>
    </row>
    <row r="6" spans="1:6" ht="96.6" x14ac:dyDescent="0.25">
      <c r="A6">
        <v>4</v>
      </c>
      <c r="B6" s="90" t="s">
        <v>44</v>
      </c>
      <c r="C6" s="109" t="s">
        <v>51</v>
      </c>
      <c r="D6" t="s">
        <v>57</v>
      </c>
      <c r="E6" t="s">
        <v>60</v>
      </c>
    </row>
    <row r="7" spans="1:6" ht="69" x14ac:dyDescent="0.25">
      <c r="A7">
        <v>5</v>
      </c>
      <c r="B7" s="90" t="s">
        <v>43</v>
      </c>
      <c r="C7" s="109" t="s">
        <v>52</v>
      </c>
      <c r="D7" t="s">
        <v>56</v>
      </c>
      <c r="E7" t="s">
        <v>60</v>
      </c>
    </row>
    <row r="8" spans="1:6" ht="82.8" x14ac:dyDescent="0.25">
      <c r="A8">
        <v>6</v>
      </c>
      <c r="B8" s="90" t="s">
        <v>42</v>
      </c>
      <c r="C8" s="109" t="s">
        <v>53</v>
      </c>
      <c r="D8" t="s">
        <v>56</v>
      </c>
      <c r="E8" t="s">
        <v>59</v>
      </c>
    </row>
    <row r="9" spans="1:6" ht="41.4" x14ac:dyDescent="0.25">
      <c r="A9">
        <v>7</v>
      </c>
      <c r="B9" s="90" t="s">
        <v>46</v>
      </c>
      <c r="C9" s="109" t="s">
        <v>54</v>
      </c>
      <c r="D9" t="s">
        <v>56</v>
      </c>
      <c r="E9" t="s">
        <v>58</v>
      </c>
    </row>
  </sheetData>
  <mergeCells count="1">
    <mergeCell ref="A1:F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9EB89-F5F8-459A-92B2-7B9BDA5ED096}">
  <dimension ref="A1:D1"/>
  <sheetViews>
    <sheetView workbookViewId="0">
      <selection activeCell="A2" sqref="A2:D17"/>
    </sheetView>
  </sheetViews>
  <sheetFormatPr defaultRowHeight="13.8" x14ac:dyDescent="0.25"/>
  <cols>
    <col min="1" max="1" width="37.69921875" customWidth="1"/>
    <col min="2" max="2" width="15.59765625" customWidth="1"/>
    <col min="3" max="3" width="35.59765625" customWidth="1"/>
    <col min="4" max="4" width="42" customWidth="1"/>
  </cols>
  <sheetData>
    <row r="1" spans="1:4" x14ac:dyDescent="0.25">
      <c r="A1" t="s">
        <v>25</v>
      </c>
      <c r="B1" t="s">
        <v>26</v>
      </c>
      <c r="C1" t="s">
        <v>27</v>
      </c>
      <c r="D1"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9B2EE-F4C4-454C-8B26-390D07F6251A}">
  <dimension ref="A1:D36"/>
  <sheetViews>
    <sheetView workbookViewId="0">
      <selection activeCell="D2" sqref="D2:D35"/>
    </sheetView>
  </sheetViews>
  <sheetFormatPr defaultRowHeight="13.8" x14ac:dyDescent="0.25"/>
  <cols>
    <col min="1" max="1" width="11.796875" customWidth="1"/>
    <col min="2" max="3" width="39.796875" customWidth="1"/>
    <col min="4" max="4" width="18.796875" bestFit="1" customWidth="1"/>
  </cols>
  <sheetData>
    <row r="1" spans="1:4" x14ac:dyDescent="0.25">
      <c r="A1" t="s">
        <v>29</v>
      </c>
      <c r="B1" t="s">
        <v>30</v>
      </c>
      <c r="C1" t="s">
        <v>31</v>
      </c>
      <c r="D1" t="s">
        <v>32</v>
      </c>
    </row>
    <row r="2" spans="1:4" x14ac:dyDescent="0.25">
      <c r="A2" s="89"/>
    </row>
    <row r="3" spans="1:4" x14ac:dyDescent="0.25">
      <c r="A3" s="89"/>
    </row>
    <row r="4" spans="1:4" x14ac:dyDescent="0.25">
      <c r="A4" s="89"/>
    </row>
    <row r="5" spans="1:4" x14ac:dyDescent="0.25">
      <c r="A5" s="89"/>
    </row>
    <row r="6" spans="1:4" x14ac:dyDescent="0.25">
      <c r="A6" s="89"/>
    </row>
    <row r="7" spans="1:4" x14ac:dyDescent="0.25">
      <c r="A7" s="89"/>
    </row>
    <row r="8" spans="1:4" x14ac:dyDescent="0.25">
      <c r="A8" s="89"/>
    </row>
    <row r="9" spans="1:4" x14ac:dyDescent="0.25">
      <c r="A9" s="89"/>
    </row>
    <row r="10" spans="1:4" x14ac:dyDescent="0.25">
      <c r="A10" s="89"/>
    </row>
    <row r="11" spans="1:4" x14ac:dyDescent="0.25">
      <c r="A11" s="89"/>
    </row>
    <row r="12" spans="1:4" x14ac:dyDescent="0.25">
      <c r="A12" s="89"/>
    </row>
    <row r="13" spans="1:4" x14ac:dyDescent="0.25">
      <c r="A13" s="89"/>
    </row>
    <row r="14" spans="1:4" x14ac:dyDescent="0.25">
      <c r="A14" s="89"/>
    </row>
    <row r="15" spans="1:4" x14ac:dyDescent="0.25">
      <c r="A15" s="89"/>
    </row>
    <row r="16" spans="1:4" x14ac:dyDescent="0.25">
      <c r="A16" s="89"/>
    </row>
    <row r="17" spans="1:1" x14ac:dyDescent="0.25">
      <c r="A17" s="89"/>
    </row>
    <row r="18" spans="1:1" x14ac:dyDescent="0.25">
      <c r="A18" s="89"/>
    </row>
    <row r="19" spans="1:1" x14ac:dyDescent="0.25">
      <c r="A19" s="89"/>
    </row>
    <row r="20" spans="1:1" x14ac:dyDescent="0.25">
      <c r="A20" s="89"/>
    </row>
    <row r="21" spans="1:1" x14ac:dyDescent="0.25">
      <c r="A21" s="89"/>
    </row>
    <row r="22" spans="1:1" x14ac:dyDescent="0.25">
      <c r="A22" s="89"/>
    </row>
    <row r="23" spans="1:1" x14ac:dyDescent="0.25">
      <c r="A23" s="89"/>
    </row>
    <row r="24" spans="1:1" x14ac:dyDescent="0.25">
      <c r="A24" s="89"/>
    </row>
    <row r="25" spans="1:1" x14ac:dyDescent="0.25">
      <c r="A25" s="89"/>
    </row>
    <row r="26" spans="1:1" x14ac:dyDescent="0.25">
      <c r="A26" s="89"/>
    </row>
    <row r="27" spans="1:1" x14ac:dyDescent="0.25">
      <c r="A27" s="89"/>
    </row>
    <row r="28" spans="1:1" x14ac:dyDescent="0.25">
      <c r="A28" s="89"/>
    </row>
    <row r="29" spans="1:1" x14ac:dyDescent="0.25">
      <c r="A29" s="89"/>
    </row>
    <row r="30" spans="1:1" x14ac:dyDescent="0.25">
      <c r="A30" s="89"/>
    </row>
    <row r="31" spans="1:1" x14ac:dyDescent="0.25">
      <c r="A31" s="89"/>
    </row>
    <row r="32" spans="1:1" x14ac:dyDescent="0.25">
      <c r="A32" s="89"/>
    </row>
    <row r="33" spans="1:1" x14ac:dyDescent="0.25">
      <c r="A33" s="89"/>
    </row>
    <row r="34" spans="1:1" x14ac:dyDescent="0.25">
      <c r="A34" s="89"/>
    </row>
    <row r="35" spans="1:1" x14ac:dyDescent="0.25">
      <c r="A35" s="89"/>
    </row>
    <row r="36" spans="1:1" x14ac:dyDescent="0.25">
      <c r="A36" s="89"/>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EFFC9-C810-40F8-9CE2-168FD259F756}">
  <dimension ref="A1:D9"/>
  <sheetViews>
    <sheetView zoomScale="110" zoomScaleNormal="110" workbookViewId="0">
      <selection activeCell="D31" sqref="D31"/>
    </sheetView>
  </sheetViews>
  <sheetFormatPr defaultRowHeight="13.8" x14ac:dyDescent="0.25"/>
  <cols>
    <col min="1" max="1" width="19.59765625" customWidth="1"/>
    <col min="2" max="2" width="25" customWidth="1"/>
    <col min="3" max="3" width="30.5" customWidth="1"/>
    <col min="4" max="4" width="55.296875" customWidth="1"/>
  </cols>
  <sheetData>
    <row r="1" spans="1:4" x14ac:dyDescent="0.25">
      <c r="A1" t="s">
        <v>33</v>
      </c>
      <c r="B1" t="s">
        <v>34</v>
      </c>
      <c r="C1" t="s">
        <v>35</v>
      </c>
      <c r="D1" t="s">
        <v>36</v>
      </c>
    </row>
    <row r="2" spans="1:4" x14ac:dyDescent="0.25">
      <c r="A2" s="90"/>
      <c r="B2" s="90"/>
      <c r="C2" s="90"/>
      <c r="D2" s="90"/>
    </row>
    <row r="3" spans="1:4" x14ac:dyDescent="0.25">
      <c r="A3" s="90"/>
      <c r="B3" s="90"/>
      <c r="C3" s="90"/>
      <c r="D3" s="90"/>
    </row>
    <row r="4" spans="1:4" x14ac:dyDescent="0.25">
      <c r="A4" s="90"/>
      <c r="B4" s="90"/>
      <c r="C4" s="90"/>
      <c r="D4" s="90"/>
    </row>
    <row r="5" spans="1:4" x14ac:dyDescent="0.25">
      <c r="A5" s="90"/>
      <c r="B5" s="90"/>
      <c r="C5" s="90"/>
      <c r="D5" s="90"/>
    </row>
    <row r="6" spans="1:4" x14ac:dyDescent="0.25">
      <c r="A6" s="90"/>
      <c r="B6" s="90"/>
      <c r="C6" s="90"/>
      <c r="D6" s="90"/>
    </row>
    <row r="7" spans="1:4" x14ac:dyDescent="0.25">
      <c r="A7" s="90"/>
      <c r="B7" s="90"/>
      <c r="C7" s="90"/>
      <c r="D7" s="90"/>
    </row>
    <row r="8" spans="1:4" x14ac:dyDescent="0.25">
      <c r="A8" s="90"/>
      <c r="B8" s="90"/>
      <c r="C8" s="90"/>
      <c r="D8" s="90"/>
    </row>
    <row r="9" spans="1:4" x14ac:dyDescent="0.25">
      <c r="A9" s="90"/>
      <c r="B9" s="90"/>
      <c r="C9" s="90"/>
      <c r="D9" s="9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IDEA Template</vt:lpstr>
      <vt:lpstr>GANTT Template</vt:lpstr>
      <vt:lpstr>TASK BREAKDOWN Template</vt:lpstr>
      <vt:lpstr>EVENT LOG Template</vt:lpstr>
      <vt:lpstr>DAILY STANDUPS Template</vt:lpstr>
      <vt:lpstr>LESSONS LEARNED Template</vt:lpstr>
      <vt:lpstr>Display_Week</vt:lpstr>
      <vt:lpstr>'GANTT Template'!Print_Titles</vt:lpstr>
      <vt:lpstr>Project_Start</vt:lpstr>
      <vt:lpstr>'GANTT Template'!task_end</vt:lpstr>
      <vt:lpstr>'GANTT Template'!task_progress</vt:lpstr>
      <vt:lpstr>'GANTT Template'!task_start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Rameez Ashraf</dc:creator>
  <dc:description/>
  <cp:lastModifiedBy>Jacob Kwan</cp:lastModifiedBy>
  <dcterms:created xsi:type="dcterms:W3CDTF">2022-03-11T22:41:12Z</dcterms:created>
  <dcterms:modified xsi:type="dcterms:W3CDTF">2025-11-09T06:42:36Z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